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ssiobisceglia/Desktop/Optimization tool/"/>
    </mc:Choice>
  </mc:AlternateContent>
  <xr:revisionPtr revIDLastSave="0" documentId="13_ncr:1_{E90AC45E-68D9-5042-9700-E5D61576AD34}" xr6:coauthVersionLast="47" xr6:coauthVersionMax="47" xr10:uidLastSave="{00000000-0000-0000-0000-000000000000}"/>
  <bookViews>
    <workbookView xWindow="0" yWindow="660" windowWidth="29400" windowHeight="18460" tabRatio="770" xr2:uid="{00000000-000D-0000-FFFF-FFFF00000000}"/>
  </bookViews>
  <sheets>
    <sheet name="Elaborazione" sheetId="1" r:id="rId1"/>
    <sheet name="Input" sheetId="2" r:id="rId2"/>
    <sheet name="risultati" sheetId="3" r:id="rId3"/>
    <sheet name="Michaud" sheetId="4" r:id="rId4"/>
  </sheets>
  <externalReferences>
    <externalReference r:id="rId5"/>
    <externalReference r:id="rId6"/>
    <externalReference r:id="rId7"/>
  </externalReferences>
  <definedNames>
    <definedName name="_xlnm._FilterDatabase" localSheetId="1" hidden="1">Input!$A$2:$A$38</definedName>
    <definedName name="_xlnm._FilterDatabase" localSheetId="2" hidden="1">risultati!$A$1:$A$224</definedName>
    <definedName name="_set1">'[1]INDICATORI SETTIMANALI'!#REF!</definedName>
    <definedName name="capitali">#REF!</definedName>
    <definedName name="ciccio" localSheetId="2">#REF!</definedName>
    <definedName name="ciccio">#REF!</definedName>
    <definedName name="databaseitalia">'[1]INDICATORI SETTIMANALI'!#REF!</definedName>
    <definedName name="DATI">'[1]INDICATORI SETTIMANALI'!$B$4:$P$170</definedName>
    <definedName name="DATO">'[1]INDICATORI SETTIMANALI'!#REF!</definedName>
    <definedName name="GIORNI">'[1]INDICATORI SETTIMANALI'!#REF!</definedName>
    <definedName name="pesi1">#REF!</definedName>
    <definedName name="pesi2">#REF!</definedName>
    <definedName name="pesi3">#REF!</definedName>
    <definedName name="pesib1">#REF!</definedName>
    <definedName name="pesib2">#REF!</definedName>
    <definedName name="pesiFideuram">#REF!</definedName>
    <definedName name="_xlnm.Print_Area" localSheetId="2">risultati!$B$2:$O$38</definedName>
    <definedName name="Rendimenti">#REF!</definedName>
    <definedName name="rf">[2]opt!$I$3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4" l="1"/>
  <c r="A5" i="4"/>
  <c r="N5" i="4" s="1"/>
  <c r="B5" i="2"/>
  <c r="D5" i="2" s="1"/>
  <c r="M19" i="4"/>
  <c r="M18" i="4"/>
  <c r="A19" i="4"/>
  <c r="A18" i="4"/>
  <c r="B19" i="3"/>
  <c r="B18" i="3"/>
  <c r="A18" i="3" s="1"/>
  <c r="B21" i="2"/>
  <c r="B20" i="2"/>
  <c r="B22" i="2"/>
  <c r="B19" i="2"/>
  <c r="B18" i="2"/>
  <c r="A18" i="2" s="1"/>
  <c r="B17" i="2"/>
  <c r="A17" i="2" s="1"/>
  <c r="B16" i="2"/>
  <c r="B15" i="2"/>
  <c r="B14" i="2"/>
  <c r="B13" i="2"/>
  <c r="D13" i="2" s="1"/>
  <c r="B12" i="2"/>
  <c r="D12" i="2" s="1"/>
  <c r="B11" i="2"/>
  <c r="D11" i="2" s="1"/>
  <c r="B10" i="2"/>
  <c r="D10" i="2" s="1"/>
  <c r="B9" i="2"/>
  <c r="D9" i="2" s="1"/>
  <c r="B8" i="2"/>
  <c r="A8" i="2" s="1"/>
  <c r="B7" i="2"/>
  <c r="A7" i="2" s="1"/>
  <c r="B6" i="2"/>
  <c r="A6" i="2" s="1"/>
  <c r="M20" i="4"/>
  <c r="M17" i="4"/>
  <c r="M16" i="4"/>
  <c r="M15" i="4"/>
  <c r="M14" i="4"/>
  <c r="M13" i="4"/>
  <c r="M12" i="4"/>
  <c r="M11" i="4"/>
  <c r="M10" i="4"/>
  <c r="M9" i="4"/>
  <c r="M8" i="4"/>
  <c r="M7" i="4"/>
  <c r="M6" i="4"/>
  <c r="M4" i="4"/>
  <c r="M3" i="4"/>
  <c r="A20" i="4"/>
  <c r="A17" i="4"/>
  <c r="N17" i="4" s="1"/>
  <c r="A16" i="4"/>
  <c r="N16" i="4" s="1"/>
  <c r="A15" i="4"/>
  <c r="N15" i="4" s="1"/>
  <c r="A14" i="4"/>
  <c r="N14" i="4" s="1"/>
  <c r="A13" i="4"/>
  <c r="N13" i="4" s="1"/>
  <c r="A12" i="4"/>
  <c r="N12" i="4" s="1"/>
  <c r="A11" i="4"/>
  <c r="N11" i="4" s="1"/>
  <c r="A10" i="4"/>
  <c r="N10" i="4" s="1"/>
  <c r="A9" i="4"/>
  <c r="N9" i="4" s="1"/>
  <c r="A8" i="4"/>
  <c r="N8" i="4" s="1"/>
  <c r="A7" i="4"/>
  <c r="N7" i="4" s="1"/>
  <c r="A6" i="4"/>
  <c r="N6" i="4" s="1"/>
  <c r="A4" i="4"/>
  <c r="N4" i="4" s="1"/>
  <c r="A3" i="4"/>
  <c r="N3" i="4" s="1"/>
  <c r="L35" i="3"/>
  <c r="K35" i="3"/>
  <c r="J35" i="3"/>
  <c r="I35" i="3"/>
  <c r="H35" i="3"/>
  <c r="G35" i="3"/>
  <c r="F35" i="3"/>
  <c r="E35" i="3"/>
  <c r="D35" i="3"/>
  <c r="C35" i="3"/>
  <c r="B29" i="3"/>
  <c r="N29" i="3" s="1"/>
  <c r="O29" i="3" s="1"/>
  <c r="B28" i="3"/>
  <c r="A28" i="3" s="1"/>
  <c r="B27" i="3"/>
  <c r="A27" i="3" s="1"/>
  <c r="B26" i="3"/>
  <c r="A26" i="3" s="1"/>
  <c r="B25" i="3"/>
  <c r="N25" i="3" s="1"/>
  <c r="O25" i="3" s="1"/>
  <c r="B24" i="3"/>
  <c r="A24" i="3" s="1"/>
  <c r="B23" i="3"/>
  <c r="A23" i="3" s="1"/>
  <c r="B22" i="3"/>
  <c r="A22" i="3" s="1"/>
  <c r="B21" i="3"/>
  <c r="N21" i="3" s="1"/>
  <c r="O21" i="3" s="1"/>
  <c r="B20" i="3"/>
  <c r="B17" i="3"/>
  <c r="B16" i="3"/>
  <c r="A16" i="3" s="1"/>
  <c r="B15" i="3"/>
  <c r="B14" i="3"/>
  <c r="A14" i="3" s="1"/>
  <c r="B13" i="3"/>
  <c r="B12" i="3"/>
  <c r="B11" i="3"/>
  <c r="B10" i="3"/>
  <c r="B9" i="3"/>
  <c r="B8" i="3"/>
  <c r="A8" i="3" s="1"/>
  <c r="B7" i="3"/>
  <c r="B6" i="3"/>
  <c r="B5" i="3"/>
  <c r="B4" i="3"/>
  <c r="B3" i="3"/>
  <c r="L31" i="2"/>
  <c r="H31" i="2"/>
  <c r="B31" i="2"/>
  <c r="A31" i="2" s="1"/>
  <c r="H30" i="2"/>
  <c r="B30" i="2"/>
  <c r="L30" i="2" s="1"/>
  <c r="H29" i="2"/>
  <c r="B29" i="2"/>
  <c r="L29" i="2" s="1"/>
  <c r="H28" i="2"/>
  <c r="B28" i="2"/>
  <c r="L28" i="2" s="1"/>
  <c r="H27" i="2"/>
  <c r="B27" i="2"/>
  <c r="L27" i="2" s="1"/>
  <c r="A27" i="2"/>
  <c r="H26" i="2"/>
  <c r="B26" i="2"/>
  <c r="A26" i="2" s="1"/>
  <c r="H25" i="2"/>
  <c r="B25" i="2"/>
  <c r="L25" i="2" s="1"/>
  <c r="H24" i="2"/>
  <c r="B24" i="2"/>
  <c r="F24" i="2" s="1"/>
  <c r="H23" i="2"/>
  <c r="B23" i="2"/>
  <c r="A23" i="2" s="1"/>
  <c r="H22" i="2"/>
  <c r="H21" i="2"/>
  <c r="A21" i="2"/>
  <c r="H20" i="2"/>
  <c r="H19" i="2"/>
  <c r="H18" i="2"/>
  <c r="H17" i="2"/>
  <c r="A15" i="2"/>
  <c r="A14" i="2"/>
  <c r="A10" i="2" l="1"/>
  <c r="D6" i="2"/>
  <c r="D7" i="2"/>
  <c r="D8" i="2"/>
  <c r="A21" i="3"/>
  <c r="A29" i="3"/>
  <c r="F31" i="2"/>
  <c r="F26" i="2"/>
  <c r="A25" i="2"/>
  <c r="A29" i="2"/>
  <c r="L26" i="2"/>
  <c r="F25" i="2"/>
  <c r="F27" i="2"/>
  <c r="F23" i="2"/>
  <c r="L23" i="2"/>
  <c r="N27" i="3"/>
  <c r="O27" i="3" s="1"/>
  <c r="A25" i="3"/>
  <c r="N23" i="3"/>
  <c r="O23" i="3" s="1"/>
  <c r="N3" i="3"/>
  <c r="O3" i="3" s="1"/>
  <c r="N7" i="3"/>
  <c r="O7" i="3" s="1"/>
  <c r="N11" i="3"/>
  <c r="O11" i="3" s="1"/>
  <c r="N15" i="3"/>
  <c r="O15" i="3" s="1"/>
  <c r="N19" i="3"/>
  <c r="A19" i="2"/>
  <c r="A5" i="3"/>
  <c r="A9" i="3"/>
  <c r="A13" i="3"/>
  <c r="A17" i="3"/>
  <c r="N5" i="3"/>
  <c r="O5" i="3" s="1"/>
  <c r="N9" i="3"/>
  <c r="O9" i="3" s="1"/>
  <c r="N13" i="3"/>
  <c r="O13" i="3" s="1"/>
  <c r="N17" i="3"/>
  <c r="O17" i="3" s="1"/>
  <c r="A9" i="2"/>
  <c r="A3" i="3"/>
  <c r="A7" i="3"/>
  <c r="A11" i="3"/>
  <c r="A15" i="3"/>
  <c r="A19" i="3"/>
  <c r="A12" i="2"/>
  <c r="F29" i="2"/>
  <c r="N4" i="3"/>
  <c r="O4" i="3" s="1"/>
  <c r="N6" i="3"/>
  <c r="O6" i="3" s="1"/>
  <c r="N8" i="3"/>
  <c r="O8" i="3" s="1"/>
  <c r="N10" i="3"/>
  <c r="O10" i="3" s="1"/>
  <c r="N12" i="3"/>
  <c r="O12" i="3" s="1"/>
  <c r="N14" i="3"/>
  <c r="O14" i="3" s="1"/>
  <c r="N16" i="3"/>
  <c r="O16" i="3" s="1"/>
  <c r="N18" i="3"/>
  <c r="N20" i="3"/>
  <c r="O20" i="3" s="1"/>
  <c r="N22" i="3"/>
  <c r="O22" i="3" s="1"/>
  <c r="N24" i="3"/>
  <c r="O24" i="3" s="1"/>
  <c r="N26" i="3"/>
  <c r="O26" i="3" s="1"/>
  <c r="N28" i="3"/>
  <c r="O28" i="3" s="1"/>
  <c r="A20" i="2"/>
  <c r="L24" i="2"/>
  <c r="A28" i="2"/>
  <c r="A11" i="2"/>
  <c r="A22" i="2"/>
  <c r="F28" i="2"/>
  <c r="A30" i="2"/>
  <c r="A5" i="2"/>
  <c r="A13" i="2"/>
  <c r="A24" i="2"/>
  <c r="F30" i="2"/>
  <c r="A4" i="3"/>
  <c r="A6" i="3"/>
  <c r="A10" i="3"/>
  <c r="A12" i="3"/>
  <c r="A20" i="3"/>
</calcChain>
</file>

<file path=xl/sharedStrings.xml><?xml version="1.0" encoding="utf-8"?>
<sst xmlns="http://schemas.openxmlformats.org/spreadsheetml/2006/main" count="40" uniqueCount="24">
  <si>
    <t>Rendimenti attesi</t>
  </si>
  <si>
    <t>Manuali</t>
  </si>
  <si>
    <t>Attesi</t>
  </si>
  <si>
    <t>Bayes-Stein</t>
  </si>
  <si>
    <t>Black Litterman</t>
  </si>
  <si>
    <t>Medie Storiche</t>
  </si>
  <si>
    <t>Vincoli</t>
  </si>
  <si>
    <t>SI</t>
  </si>
  <si>
    <t>NO</t>
  </si>
  <si>
    <t>lower</t>
  </si>
  <si>
    <t>upper</t>
  </si>
  <si>
    <t>PTF 1</t>
  </si>
  <si>
    <t>PTF 2</t>
  </si>
  <si>
    <t>PTF 3</t>
  </si>
  <si>
    <t>PTF 4</t>
  </si>
  <si>
    <t>PTF 5</t>
  </si>
  <si>
    <t>PTF 6</t>
  </si>
  <si>
    <t>PTF 7</t>
  </si>
  <si>
    <t>PTF 8</t>
  </si>
  <si>
    <t>PTF 9</t>
  </si>
  <si>
    <t>PTF 10</t>
  </si>
  <si>
    <t xml:space="preserve">Rend. Attesi annual. </t>
  </si>
  <si>
    <t>Rendimento atteso annualiz.</t>
  </si>
  <si>
    <t>Volatilità annualizzata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</si>
</sst>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1" formatCode="_-* #,##0_-;\-* #,##0_-;_-* &quot;-&quot;_-;_-@_-"/>
    <numFmt numFmtId="164" formatCode="0.0%"/>
    <numFmt numFmtId="165" formatCode="0.000%"/>
    <numFmt numFmtId="166" formatCode="0.000"/>
    <numFmt numFmtId="167" formatCode="0.0"/>
    <numFmt numFmtId="168" formatCode="_-[$€]* #,##0.00_-;\-[$€]* #,##0.00_-;_-[$€]* &quot;-&quot;??_-;_-@_-"/>
    <numFmt numFmtId="169" formatCode="_-&quot;L.&quot;\ * #,##0_-;\-&quot;L.&quot;\ * #,##0_-;_-&quot;L.&quot;\ * &quot;-&quot;_-;_-@_-"/>
    <numFmt numFmtId="170" formatCode="dd/mm/yyyy"/>
    <numFmt numFmtId="171" formatCode="0.000000%"/>
  </numFmts>
  <fonts count="35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6"/>
      <name val="Arial"/>
      <family val="2"/>
    </font>
    <font>
      <sz val="10"/>
      <name val="Arial"/>
      <family val="2"/>
    </font>
    <font>
      <i/>
      <sz val="10"/>
      <name val="Helv"/>
    </font>
    <font>
      <sz val="8"/>
      <name val="Arial"/>
      <family val="2"/>
    </font>
    <font>
      <b/>
      <sz val="10"/>
      <color indexed="18"/>
      <name val="Arial"/>
      <family val="2"/>
    </font>
    <font>
      <b/>
      <sz val="8"/>
      <name val="Arial"/>
      <family val="2"/>
    </font>
    <font>
      <b/>
      <sz val="7"/>
      <name val="Arial"/>
      <family val="2"/>
    </font>
    <font>
      <sz val="10"/>
      <color indexed="48"/>
      <name val="Arial"/>
      <family val="2"/>
    </font>
    <font>
      <sz val="6"/>
      <name val="Arial"/>
      <family val="2"/>
    </font>
    <font>
      <sz val="10"/>
      <color indexed="8"/>
      <name val="Arial"/>
      <family val="2"/>
    </font>
    <font>
      <sz val="12"/>
      <name val="Arial"/>
      <family val="2"/>
    </font>
    <font>
      <b/>
      <sz val="12"/>
      <color indexed="9"/>
      <name val="Arial"/>
      <family val="2"/>
    </font>
    <font>
      <sz val="12"/>
      <color indexed="18"/>
      <name val="Arial"/>
      <family val="2"/>
    </font>
    <font>
      <b/>
      <sz val="14"/>
      <color indexed="18"/>
      <name val="Arial"/>
      <family val="2"/>
    </font>
    <font>
      <sz val="10"/>
      <color indexed="18"/>
      <name val="Arial"/>
      <family val="2"/>
    </font>
    <font>
      <b/>
      <sz val="12"/>
      <color indexed="18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8"/>
      <color indexed="18"/>
      <name val="Arial"/>
      <family val="2"/>
    </font>
    <font>
      <sz val="11"/>
      <color theme="6" tint="-0.249977111117893"/>
      <name val="Arial"/>
      <family val="2"/>
    </font>
    <font>
      <sz val="10"/>
      <color theme="6" tint="-0.249977111117893"/>
      <name val="Arial"/>
      <family val="2"/>
    </font>
    <font>
      <b/>
      <sz val="8"/>
      <color theme="6" tint="-0.249977111117893"/>
      <name val="Arial"/>
      <family val="2"/>
    </font>
    <font>
      <sz val="6"/>
      <color theme="6" tint="-0.249977111117893"/>
      <name val="Arial"/>
      <family val="2"/>
    </font>
    <font>
      <b/>
      <sz val="11"/>
      <color theme="6" tint="-0.249977111117893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168" fontId="4" fillId="0" borderId="0"/>
    <xf numFmtId="41" fontId="4" fillId="0" borderId="0"/>
    <xf numFmtId="0" fontId="12" fillId="0" borderId="0"/>
    <xf numFmtId="0" fontId="5" fillId="0" borderId="1"/>
    <xf numFmtId="9" fontId="4" fillId="0" borderId="0"/>
    <xf numFmtId="169" fontId="4" fillId="0" borderId="0"/>
  </cellStyleXfs>
  <cellXfs count="135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/>
    <xf numFmtId="2" fontId="0" fillId="0" borderId="0" xfId="0" applyNumberFormat="1"/>
    <xf numFmtId="10" fontId="0" fillId="0" borderId="0" xfId="5" applyNumberFormat="1" applyFont="1"/>
    <xf numFmtId="0" fontId="2" fillId="0" borderId="0" xfId="0" applyFont="1" applyAlignment="1">
      <alignment horizontal="center"/>
    </xf>
    <xf numFmtId="0" fontId="2" fillId="0" borderId="0" xfId="0" applyFont="1"/>
    <xf numFmtId="164" fontId="4" fillId="0" borderId="0" xfId="5" applyNumberFormat="1" applyAlignment="1">
      <alignment horizontal="center"/>
    </xf>
    <xf numFmtId="164" fontId="1" fillId="0" borderId="0" xfId="5" applyNumberFormat="1" applyFont="1"/>
    <xf numFmtId="10" fontId="1" fillId="0" borderId="0" xfId="5" applyNumberFormat="1" applyFont="1" applyAlignment="1">
      <alignment horizontal="center"/>
    </xf>
    <xf numFmtId="164" fontId="1" fillId="0" borderId="0" xfId="5" applyNumberFormat="1" applyFont="1" applyAlignment="1">
      <alignment horizontal="center"/>
    </xf>
    <xf numFmtId="2" fontId="1" fillId="0" borderId="0" xfId="5" applyNumberFormat="1" applyFont="1" applyAlignment="1">
      <alignment horizontal="center"/>
    </xf>
    <xf numFmtId="164" fontId="2" fillId="0" borderId="0" xfId="5" applyNumberFormat="1" applyFont="1" applyAlignment="1">
      <alignment horizontal="center"/>
    </xf>
    <xf numFmtId="0" fontId="4" fillId="0" borderId="0" xfId="0" applyFont="1"/>
    <xf numFmtId="0" fontId="11" fillId="0" borderId="0" xfId="0" applyFont="1"/>
    <xf numFmtId="2" fontId="4" fillId="0" borderId="0" xfId="5" applyNumberForma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164" fontId="0" fillId="0" borderId="0" xfId="5" applyNumberFormat="1" applyFont="1"/>
    <xf numFmtId="9" fontId="0" fillId="0" borderId="0" xfId="5" applyFont="1"/>
    <xf numFmtId="10" fontId="2" fillId="0" borderId="0" xfId="5" applyNumberFormat="1" applyFont="1" applyAlignment="1">
      <alignment horizontal="center"/>
    </xf>
    <xf numFmtId="0" fontId="8" fillId="0" borderId="0" xfId="0" applyFont="1"/>
    <xf numFmtId="164" fontId="4" fillId="0" borderId="0" xfId="5" applyNumberFormat="1"/>
    <xf numFmtId="0" fontId="0" fillId="0" borderId="2" xfId="0" applyBorder="1"/>
    <xf numFmtId="0" fontId="0" fillId="0" borderId="3" xfId="0" applyBorder="1"/>
    <xf numFmtId="0" fontId="13" fillId="0" borderId="3" xfId="0" applyFont="1" applyBorder="1"/>
    <xf numFmtId="0" fontId="13" fillId="2" borderId="3" xfId="0" applyFont="1" applyFill="1" applyBorder="1"/>
    <xf numFmtId="0" fontId="13" fillId="2" borderId="4" xfId="0" applyFont="1" applyFill="1" applyBorder="1"/>
    <xf numFmtId="0" fontId="0" fillId="0" borderId="5" xfId="0" applyBorder="1"/>
    <xf numFmtId="0" fontId="14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10" fontId="15" fillId="0" borderId="0" xfId="5" applyNumberFormat="1" applyFont="1" applyAlignment="1">
      <alignment horizontal="center"/>
    </xf>
    <xf numFmtId="10" fontId="15" fillId="0" borderId="5" xfId="5" applyNumberFormat="1" applyFont="1" applyBorder="1" applyAlignment="1">
      <alignment horizontal="center"/>
    </xf>
    <xf numFmtId="0" fontId="17" fillId="0" borderId="0" xfId="0" applyFont="1"/>
    <xf numFmtId="10" fontId="15" fillId="0" borderId="2" xfId="5" applyNumberFormat="1" applyFont="1" applyBorder="1" applyAlignment="1">
      <alignment horizontal="center"/>
    </xf>
    <xf numFmtId="10" fontId="15" fillId="0" borderId="6" xfId="5" applyNumberFormat="1" applyFont="1" applyBorder="1" applyAlignment="1">
      <alignment horizontal="center"/>
    </xf>
    <xf numFmtId="0" fontId="9" fillId="0" borderId="0" xfId="0" applyFont="1" applyAlignment="1">
      <alignment horizontal="right"/>
    </xf>
    <xf numFmtId="0" fontId="0" fillId="4" borderId="0" xfId="0" applyFill="1"/>
    <xf numFmtId="164" fontId="0" fillId="0" borderId="0" xfId="0" applyNumberFormat="1"/>
    <xf numFmtId="0" fontId="0" fillId="0" borderId="7" xfId="0" applyBorder="1"/>
    <xf numFmtId="164" fontId="13" fillId="0" borderId="0" xfId="5" applyNumberFormat="1" applyFont="1" applyAlignment="1">
      <alignment horizontal="center"/>
    </xf>
    <xf numFmtId="9" fontId="0" fillId="0" borderId="0" xfId="0" applyNumberFormat="1"/>
    <xf numFmtId="0" fontId="0" fillId="0" borderId="0" xfId="0" applyAlignment="1">
      <alignment horizontal="right"/>
    </xf>
    <xf numFmtId="0" fontId="0" fillId="0" borderId="8" xfId="0" applyBorder="1"/>
    <xf numFmtId="164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9" fontId="10" fillId="0" borderId="0" xfId="0" applyNumberFormat="1" applyFont="1" applyAlignment="1">
      <alignment horizontal="center"/>
    </xf>
    <xf numFmtId="166" fontId="6" fillId="0" borderId="0" xfId="5" applyNumberFormat="1" applyFont="1" applyAlignment="1">
      <alignment horizontal="center"/>
    </xf>
    <xf numFmtId="164" fontId="15" fillId="0" borderId="0" xfId="5" applyNumberFormat="1" applyFont="1" applyAlignment="1">
      <alignment horizontal="center"/>
    </xf>
    <xf numFmtId="164" fontId="18" fillId="0" borderId="0" xfId="5" applyNumberFormat="1" applyFont="1" applyAlignment="1">
      <alignment horizontal="center"/>
    </xf>
    <xf numFmtId="9" fontId="19" fillId="0" borderId="9" xfId="0" applyNumberFormat="1" applyFont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20" fillId="0" borderId="3" xfId="0" applyFont="1" applyBorder="1"/>
    <xf numFmtId="0" fontId="20" fillId="2" borderId="3" xfId="0" applyFont="1" applyFill="1" applyBorder="1"/>
    <xf numFmtId="10" fontId="15" fillId="0" borderId="0" xfId="5" applyNumberFormat="1" applyFont="1" applyAlignment="1" applyProtection="1">
      <alignment horizontal="center"/>
      <protection locked="0"/>
    </xf>
    <xf numFmtId="0" fontId="17" fillId="0" borderId="0" xfId="0" applyFont="1" applyProtection="1">
      <protection locked="0"/>
    </xf>
    <xf numFmtId="10" fontId="15" fillId="0" borderId="2" xfId="5" applyNumberFormat="1" applyFont="1" applyBorder="1" applyAlignment="1" applyProtection="1">
      <alignment horizontal="center"/>
      <protection locked="0"/>
    </xf>
    <xf numFmtId="9" fontId="15" fillId="0" borderId="3" xfId="5" applyFont="1" applyBorder="1" applyAlignment="1" applyProtection="1">
      <alignment horizontal="center"/>
      <protection locked="0"/>
    </xf>
    <xf numFmtId="9" fontId="15" fillId="0" borderId="0" xfId="5" applyFont="1" applyAlignment="1" applyProtection="1">
      <alignment horizontal="center"/>
      <protection locked="0"/>
    </xf>
    <xf numFmtId="9" fontId="15" fillId="0" borderId="4" xfId="5" applyFont="1" applyBorder="1" applyAlignment="1" applyProtection="1">
      <alignment horizontal="center"/>
      <protection locked="0"/>
    </xf>
    <xf numFmtId="9" fontId="15" fillId="0" borderId="2" xfId="5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0" fillId="0" borderId="0" xfId="0" applyFont="1"/>
    <xf numFmtId="0" fontId="16" fillId="2" borderId="0" xfId="0" applyFont="1" applyFill="1" applyAlignment="1" applyProtection="1">
      <alignment horizontal="center" vertical="center"/>
      <protection locked="0"/>
    </xf>
    <xf numFmtId="9" fontId="4" fillId="0" borderId="0" xfId="5"/>
    <xf numFmtId="164" fontId="21" fillId="0" borderId="0" xfId="5" applyNumberFormat="1" applyFont="1"/>
    <xf numFmtId="167" fontId="2" fillId="0" borderId="0" xfId="0" applyNumberFormat="1" applyFont="1" applyAlignment="1">
      <alignment horizontal="center"/>
    </xf>
    <xf numFmtId="164" fontId="18" fillId="0" borderId="0" xfId="5" applyNumberFormat="1" applyFont="1" applyAlignment="1">
      <alignment horizontal="right"/>
    </xf>
    <xf numFmtId="0" fontId="0" fillId="0" borderId="11" xfId="0" applyBorder="1"/>
    <xf numFmtId="0" fontId="7" fillId="0" borderId="0" xfId="0" applyFont="1" applyAlignment="1">
      <alignment horizontal="center"/>
    </xf>
    <xf numFmtId="0" fontId="0" fillId="0" borderId="12" xfId="0" applyBorder="1"/>
    <xf numFmtId="0" fontId="1" fillId="0" borderId="1" xfId="0" applyFont="1" applyBorder="1"/>
    <xf numFmtId="0" fontId="1" fillId="2" borderId="1" xfId="0" applyFont="1" applyFill="1" applyBorder="1"/>
    <xf numFmtId="0" fontId="1" fillId="0" borderId="0" xfId="0" applyFont="1"/>
    <xf numFmtId="0" fontId="1" fillId="2" borderId="0" xfId="0" applyFont="1" applyFill="1"/>
    <xf numFmtId="164" fontId="1" fillId="0" borderId="3" xfId="5" applyNumberFormat="1" applyFont="1" applyBorder="1"/>
    <xf numFmtId="164" fontId="1" fillId="0" borderId="5" xfId="5" applyNumberFormat="1" applyFont="1" applyBorder="1"/>
    <xf numFmtId="164" fontId="1" fillId="2" borderId="3" xfId="5" applyNumberFormat="1" applyFont="1" applyFill="1" applyBorder="1"/>
    <xf numFmtId="164" fontId="1" fillId="2" borderId="0" xfId="5" applyNumberFormat="1" applyFont="1" applyFill="1"/>
    <xf numFmtId="164" fontId="1" fillId="2" borderId="5" xfId="5" applyNumberFormat="1" applyFont="1" applyFill="1" applyBorder="1"/>
    <xf numFmtId="164" fontId="1" fillId="0" borderId="1" xfId="5" applyNumberFormat="1" applyFont="1" applyBorder="1"/>
    <xf numFmtId="164" fontId="1" fillId="2" borderId="1" xfId="5" applyNumberFormat="1" applyFont="1" applyFill="1" applyBorder="1"/>
    <xf numFmtId="9" fontId="18" fillId="0" borderId="10" xfId="0" applyNumberFormat="1" applyFont="1" applyBorder="1" applyAlignment="1">
      <alignment horizontal="center"/>
    </xf>
    <xf numFmtId="9" fontId="19" fillId="0" borderId="10" xfId="0" applyNumberFormat="1" applyFont="1" applyBorder="1" applyAlignment="1">
      <alignment horizontal="center"/>
    </xf>
    <xf numFmtId="0" fontId="20" fillId="0" borderId="14" xfId="0" applyFont="1" applyBorder="1"/>
    <xf numFmtId="164" fontId="20" fillId="0" borderId="0" xfId="5" applyNumberFormat="1" applyFont="1" applyAlignment="1">
      <alignment horizontal="center"/>
    </xf>
    <xf numFmtId="164" fontId="20" fillId="2" borderId="0" xfId="5" applyNumberFormat="1" applyFont="1" applyFill="1" applyAlignment="1">
      <alignment horizontal="center"/>
    </xf>
    <xf numFmtId="0" fontId="13" fillId="2" borderId="0" xfId="0" applyFont="1" applyFill="1"/>
    <xf numFmtId="9" fontId="0" fillId="5" borderId="0" xfId="0" applyNumberFormat="1" applyFill="1" applyAlignment="1">
      <alignment horizontal="center"/>
    </xf>
    <xf numFmtId="164" fontId="1" fillId="0" borderId="3" xfId="5" applyNumberFormat="1" applyFont="1" applyBorder="1" applyAlignment="1">
      <alignment horizontal="center"/>
    </xf>
    <xf numFmtId="164" fontId="1" fillId="0" borderId="5" xfId="5" applyNumberFormat="1" applyFont="1" applyBorder="1" applyAlignment="1">
      <alignment horizontal="center"/>
    </xf>
    <xf numFmtId="164" fontId="1" fillId="2" borderId="3" xfId="5" applyNumberFormat="1" applyFont="1" applyFill="1" applyBorder="1" applyAlignment="1">
      <alignment horizontal="center"/>
    </xf>
    <xf numFmtId="164" fontId="1" fillId="2" borderId="0" xfId="5" applyNumberFormat="1" applyFont="1" applyFill="1" applyAlignment="1">
      <alignment horizontal="center"/>
    </xf>
    <xf numFmtId="164" fontId="4" fillId="2" borderId="0" xfId="5" applyNumberFormat="1" applyFill="1" applyAlignment="1">
      <alignment horizontal="center"/>
    </xf>
    <xf numFmtId="0" fontId="1" fillId="6" borderId="13" xfId="0" applyFont="1" applyFill="1" applyBorder="1"/>
    <xf numFmtId="164" fontId="1" fillId="6" borderId="4" xfId="5" applyNumberFormat="1" applyFont="1" applyFill="1" applyBorder="1"/>
    <xf numFmtId="164" fontId="1" fillId="6" borderId="2" xfId="5" applyNumberFormat="1" applyFont="1" applyFill="1" applyBorder="1"/>
    <xf numFmtId="164" fontId="1" fillId="6" borderId="6" xfId="5" applyNumberFormat="1" applyFont="1" applyFill="1" applyBorder="1"/>
    <xf numFmtId="0" fontId="1" fillId="6" borderId="2" xfId="0" applyFont="1" applyFill="1" applyBorder="1"/>
    <xf numFmtId="164" fontId="13" fillId="6" borderId="13" xfId="5" applyNumberFormat="1" applyFont="1" applyFill="1" applyBorder="1"/>
    <xf numFmtId="9" fontId="22" fillId="0" borderId="10" xfId="0" applyNumberFormat="1" applyFont="1" applyBorder="1" applyAlignment="1">
      <alignment horizontal="center"/>
    </xf>
    <xf numFmtId="164" fontId="1" fillId="0" borderId="1" xfId="5" applyNumberFormat="1" applyFont="1" applyBorder="1" applyAlignment="1">
      <alignment horizontal="center"/>
    </xf>
    <xf numFmtId="164" fontId="1" fillId="2" borderId="1" xfId="5" applyNumberFormat="1" applyFont="1" applyFill="1" applyBorder="1" applyAlignment="1">
      <alignment horizontal="center"/>
    </xf>
    <xf numFmtId="0" fontId="23" fillId="2" borderId="15" xfId="0" applyFont="1" applyFill="1" applyBorder="1" applyAlignment="1">
      <alignment horizontal="center" vertical="center"/>
    </xf>
    <xf numFmtId="164" fontId="24" fillId="0" borderId="5" xfId="5" applyNumberFormat="1" applyFont="1" applyBorder="1" applyAlignment="1">
      <alignment horizontal="center"/>
    </xf>
    <xf numFmtId="164" fontId="24" fillId="2" borderId="5" xfId="5" applyNumberFormat="1" applyFont="1" applyFill="1" applyBorder="1" applyAlignment="1">
      <alignment horizontal="center"/>
    </xf>
    <xf numFmtId="9" fontId="25" fillId="0" borderId="10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9" fontId="24" fillId="0" borderId="0" xfId="0" applyNumberFormat="1" applyFont="1" applyAlignment="1">
      <alignment horizontal="center"/>
    </xf>
    <xf numFmtId="164" fontId="27" fillId="0" borderId="15" xfId="5" applyNumberFormat="1" applyFont="1" applyBorder="1" applyAlignment="1">
      <alignment horizontal="center"/>
    </xf>
    <xf numFmtId="164" fontId="27" fillId="2" borderId="5" xfId="5" applyNumberFormat="1" applyFont="1" applyFill="1" applyBorder="1" applyAlignment="1">
      <alignment horizontal="center"/>
    </xf>
    <xf numFmtId="164" fontId="23" fillId="0" borderId="5" xfId="5" applyNumberFormat="1" applyFont="1" applyBorder="1" applyAlignment="1">
      <alignment horizontal="center"/>
    </xf>
    <xf numFmtId="164" fontId="23" fillId="2" borderId="5" xfId="5" applyNumberFormat="1" applyFont="1" applyFill="1" applyBorder="1" applyAlignment="1">
      <alignment horizontal="center"/>
    </xf>
    <xf numFmtId="9" fontId="6" fillId="0" borderId="0" xfId="5" applyFont="1" applyAlignment="1">
      <alignment horizontal="center"/>
    </xf>
    <xf numFmtId="0" fontId="1" fillId="5" borderId="0" xfId="0" applyFont="1" applyFill="1" applyAlignment="1">
      <alignment horizontal="center"/>
    </xf>
    <xf numFmtId="9" fontId="15" fillId="7" borderId="3" xfId="5" applyFont="1" applyFill="1" applyBorder="1" applyAlignment="1" applyProtection="1">
      <alignment horizontal="center"/>
      <protection locked="0"/>
    </xf>
    <xf numFmtId="9" fontId="15" fillId="7" borderId="0" xfId="5" applyFont="1" applyFill="1" applyAlignment="1" applyProtection="1">
      <alignment horizontal="center"/>
      <protection locked="0"/>
    </xf>
    <xf numFmtId="10" fontId="15" fillId="7" borderId="0" xfId="5" applyNumberFormat="1" applyFont="1" applyFill="1" applyAlignment="1" applyProtection="1">
      <alignment horizontal="center"/>
      <protection locked="0"/>
    </xf>
    <xf numFmtId="0" fontId="29" fillId="8" borderId="0" xfId="0" applyFont="1" applyFill="1" applyAlignment="1">
      <alignment horizontal="center" vertical="center"/>
    </xf>
    <xf numFmtId="0" fontId="29" fillId="8" borderId="5" xfId="0" applyFont="1" applyFill="1" applyBorder="1" applyAlignment="1">
      <alignment horizontal="center" vertical="center"/>
    </xf>
    <xf numFmtId="0" fontId="30" fillId="8" borderId="0" xfId="0" applyFont="1" applyFill="1" applyAlignment="1">
      <alignment horizontal="center" vertical="center"/>
    </xf>
    <xf numFmtId="0" fontId="32" fillId="8" borderId="14" xfId="0" applyFont="1" applyFill="1" applyBorder="1" applyAlignment="1">
      <alignment horizontal="center" vertical="center"/>
    </xf>
    <xf numFmtId="0" fontId="32" fillId="8" borderId="10" xfId="0" applyFont="1" applyFill="1" applyBorder="1" applyAlignment="1">
      <alignment horizontal="center" vertical="center"/>
    </xf>
    <xf numFmtId="0" fontId="33" fillId="8" borderId="10" xfId="0" applyFont="1" applyFill="1" applyBorder="1" applyAlignment="1">
      <alignment horizontal="center" vertical="center"/>
    </xf>
    <xf numFmtId="164" fontId="33" fillId="0" borderId="10" xfId="5" applyNumberFormat="1" applyFont="1" applyBorder="1" applyAlignment="1">
      <alignment horizontal="center"/>
    </xf>
    <xf numFmtId="164" fontId="33" fillId="2" borderId="0" xfId="5" applyNumberFormat="1" applyFont="1" applyFill="1" applyAlignment="1">
      <alignment horizontal="center"/>
    </xf>
    <xf numFmtId="0" fontId="34" fillId="0" borderId="17" xfId="0" applyFont="1" applyBorder="1" applyAlignment="1">
      <alignment horizontal="center" vertical="top"/>
    </xf>
    <xf numFmtId="170" fontId="0" fillId="0" borderId="0" xfId="0" applyNumberFormat="1"/>
    <xf numFmtId="171" fontId="0" fillId="0" borderId="0" xfId="0" applyNumberFormat="1"/>
    <xf numFmtId="0" fontId="31" fillId="8" borderId="3" xfId="0" applyFont="1" applyFill="1" applyBorder="1" applyAlignment="1">
      <alignment horizontal="center" vertical="center"/>
    </xf>
    <xf numFmtId="0" fontId="28" fillId="8" borderId="3" xfId="0" applyFont="1" applyFill="1" applyBorder="1"/>
    <xf numFmtId="0" fontId="28" fillId="8" borderId="0" xfId="0" applyFont="1" applyFill="1"/>
    <xf numFmtId="0" fontId="29" fillId="8" borderId="16" xfId="0" applyFont="1" applyFill="1" applyBorder="1" applyAlignment="1">
      <alignment horizontal="center" vertical="center"/>
    </xf>
    <xf numFmtId="0" fontId="28" fillId="8" borderId="16" xfId="0" applyFont="1" applyFill="1" applyBorder="1"/>
  </cellXfs>
  <cellStyles count="7">
    <cellStyle name="Euro" xfId="1" xr:uid="{00000000-0005-0000-0000-000001000000}"/>
    <cellStyle name="Migliaia (0)_EDIZIONE.XLS Grafico 1031" xfId="2" xr:uid="{00000000-0005-0000-0000-000003000000}"/>
    <cellStyle name="Normal" xfId="0" builtinId="0"/>
    <cellStyle name="Normale_Statistiche_Bil_Cattaneo" xfId="3" xr:uid="{00000000-0005-0000-0000-000004000000}"/>
    <cellStyle name="Notes" xfId="4" xr:uid="{00000000-0005-0000-0000-000005000000}"/>
    <cellStyle name="Percent" xfId="5" builtinId="5"/>
    <cellStyle name="Valuta (0)_EDIZIONE.xls Grafico 1583" xfId="6" xr:uid="{00000000-0005-0000-0000-000007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9B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/GPM/Giornale/Indici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/Documents%20and%20Settings/raiteri.DOMERSEL/Desktop/Matlab/Matlabweigh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/X-GestioniIndividuali/GPM/ottimizzatore/Rendimenti%20Attesi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ATORI SETTIMANALI"/>
    </sheetNames>
    <sheetDataSet>
      <sheetData sheetId="0" refreshError="1">
        <row r="4">
          <cell r="B4">
            <v>34989</v>
          </cell>
          <cell r="F4" t="str">
            <v>PX_last</v>
          </cell>
          <cell r="G4">
            <v>276.62</v>
          </cell>
          <cell r="H4" t="str">
            <v>LAST_PRICE</v>
          </cell>
          <cell r="I4" t="str">
            <v>LAST_PRICE</v>
          </cell>
          <cell r="J4" t="str">
            <v>LAST_PRICE</v>
          </cell>
          <cell r="K4" t="str">
            <v>LAST_PRICE</v>
          </cell>
          <cell r="L4" t="str">
            <v>LAST_PRICE</v>
          </cell>
          <cell r="M4" t="str">
            <v>LAST_PRICE</v>
          </cell>
          <cell r="N4" t="str">
            <v>LAST_PRICE</v>
          </cell>
          <cell r="O4" t="str">
            <v>LAST_PRICE</v>
          </cell>
          <cell r="P4" t="str">
            <v>LAST_PRICE</v>
          </cell>
        </row>
        <row r="5">
          <cell r="B5">
            <v>40662</v>
          </cell>
          <cell r="C5">
            <v>34989</v>
          </cell>
          <cell r="F5" t="e">
            <v>#NAME?</v>
          </cell>
          <cell r="G5">
            <v>281.29000000000002</v>
          </cell>
          <cell r="H5" t="e">
            <v>#NAME?</v>
          </cell>
          <cell r="I5" t="e">
            <v>#NAME?</v>
          </cell>
          <cell r="J5" t="e">
            <v>#NAME?</v>
          </cell>
          <cell r="K5" t="e">
            <v>#NAME?</v>
          </cell>
          <cell r="L5" t="e">
            <v>#NAME?</v>
          </cell>
          <cell r="M5" t="e">
            <v>#NAME?</v>
          </cell>
          <cell r="N5" t="e">
            <v>#NAME?</v>
          </cell>
          <cell r="O5" t="e">
            <v>#NAME?</v>
          </cell>
          <cell r="P5" t="e">
            <v>#NAME?</v>
          </cell>
        </row>
        <row r="6">
          <cell r="B6">
            <v>35003</v>
          </cell>
          <cell r="C6">
            <v>34996</v>
          </cell>
          <cell r="F6">
            <v>173.91</v>
          </cell>
          <cell r="G6">
            <v>276.89</v>
          </cell>
          <cell r="H6">
            <v>1594.780029296875</v>
          </cell>
          <cell r="J6">
            <v>581.30999999999995</v>
          </cell>
          <cell r="K6">
            <v>13806</v>
          </cell>
          <cell r="L6">
            <v>4755.47998046875</v>
          </cell>
          <cell r="M6">
            <v>3529.099853515625</v>
          </cell>
          <cell r="N6">
            <v>2167.909912109375</v>
          </cell>
          <cell r="O6">
            <v>1814.0098876953125</v>
          </cell>
          <cell r="P6">
            <v>17654.638671875</v>
          </cell>
        </row>
        <row r="7">
          <cell r="B7">
            <v>39444</v>
          </cell>
          <cell r="C7">
            <v>35003</v>
          </cell>
          <cell r="F7">
            <v>318.92</v>
          </cell>
          <cell r="G7">
            <v>347.61272000000002</v>
          </cell>
          <cell r="H7">
            <v>1.4692000000000001</v>
          </cell>
          <cell r="I7">
            <v>401.48380070786823</v>
          </cell>
          <cell r="J7">
            <v>39067.19</v>
          </cell>
          <cell r="K7">
            <v>38554</v>
          </cell>
          <cell r="L7">
            <v>1459.53</v>
          </cell>
          <cell r="M7">
            <v>6456.9</v>
          </cell>
          <cell r="N7">
            <v>8067.32</v>
          </cell>
          <cell r="O7">
            <v>5614.08</v>
          </cell>
          <cell r="P7">
            <v>15307.78</v>
          </cell>
        </row>
        <row r="8">
          <cell r="B8">
            <v>39450</v>
          </cell>
          <cell r="C8">
            <v>39444</v>
          </cell>
          <cell r="F8">
            <v>319.2</v>
          </cell>
          <cell r="G8">
            <v>238.1</v>
          </cell>
          <cell r="H8">
            <v>1.47262</v>
          </cell>
          <cell r="I8">
            <v>395.24113484809385</v>
          </cell>
          <cell r="J8">
            <v>38529.050000000003</v>
          </cell>
          <cell r="K8">
            <v>38063</v>
          </cell>
          <cell r="L8">
            <v>1447.16</v>
          </cell>
          <cell r="M8">
            <v>6479.3990000000003</v>
          </cell>
          <cell r="N8">
            <v>7908.41</v>
          </cell>
          <cell r="O8">
            <v>5546.08</v>
          </cell>
          <cell r="P8">
            <v>15307.78</v>
          </cell>
        </row>
        <row r="9">
          <cell r="B9">
            <v>39456</v>
          </cell>
          <cell r="C9">
            <v>39450</v>
          </cell>
          <cell r="F9">
            <v>319.43</v>
          </cell>
          <cell r="G9">
            <v>240.9</v>
          </cell>
          <cell r="H9">
            <v>1.468</v>
          </cell>
          <cell r="I9">
            <v>381.15435000000002</v>
          </cell>
          <cell r="J9">
            <v>35853.89</v>
          </cell>
          <cell r="K9">
            <v>37321</v>
          </cell>
          <cell r="L9">
            <v>1420.33</v>
          </cell>
          <cell r="M9">
            <v>6222.7</v>
          </cell>
          <cell r="N9">
            <v>7713.09</v>
          </cell>
          <cell r="O9">
            <v>5400.43</v>
          </cell>
          <cell r="P9">
            <v>14388.11</v>
          </cell>
        </row>
        <row r="10">
          <cell r="B10">
            <v>39463</v>
          </cell>
          <cell r="C10">
            <v>39456</v>
          </cell>
          <cell r="F10">
            <v>319.8</v>
          </cell>
          <cell r="G10">
            <v>243.89400000000001</v>
          </cell>
          <cell r="H10">
            <v>1.4792000000000001</v>
          </cell>
          <cell r="I10">
            <v>365.02024999999998</v>
          </cell>
          <cell r="J10">
            <v>35046.79</v>
          </cell>
          <cell r="K10">
            <v>36632</v>
          </cell>
          <cell r="L10">
            <v>1333.25</v>
          </cell>
          <cell r="M10">
            <v>5902.4</v>
          </cell>
          <cell r="N10">
            <v>7413.53</v>
          </cell>
          <cell r="O10">
            <v>5157.09</v>
          </cell>
          <cell r="P10">
            <v>13783.45</v>
          </cell>
        </row>
        <row r="11">
          <cell r="B11">
            <v>39470</v>
          </cell>
          <cell r="C11">
            <v>39463</v>
          </cell>
          <cell r="F11">
            <v>319.99</v>
          </cell>
          <cell r="G11">
            <v>244.23</v>
          </cell>
          <cell r="H11">
            <v>1.4574</v>
          </cell>
          <cell r="I11">
            <v>354.64400999999998</v>
          </cell>
          <cell r="J11">
            <v>32605.91</v>
          </cell>
          <cell r="K11">
            <v>32940</v>
          </cell>
          <cell r="L11">
            <v>1352.07</v>
          </cell>
          <cell r="M11">
            <v>5875.8</v>
          </cell>
          <cell r="N11">
            <v>6821.07</v>
          </cell>
          <cell r="O11">
            <v>4915.29</v>
          </cell>
          <cell r="P11">
            <v>13092.78</v>
          </cell>
        </row>
        <row r="12">
          <cell r="B12">
            <v>39478</v>
          </cell>
          <cell r="C12">
            <v>39470</v>
          </cell>
          <cell r="F12">
            <v>320.14</v>
          </cell>
          <cell r="G12">
            <v>245.84399999999999</v>
          </cell>
          <cell r="H12">
            <v>1.4870000000000001</v>
          </cell>
          <cell r="I12">
            <v>354.64001000000002</v>
          </cell>
          <cell r="J12">
            <v>34522.28</v>
          </cell>
          <cell r="K12">
            <v>34230</v>
          </cell>
          <cell r="L12">
            <v>1378.55</v>
          </cell>
          <cell r="M12">
            <v>5879.8</v>
          </cell>
          <cell r="N12">
            <v>6851.75</v>
          </cell>
          <cell r="O12">
            <v>4869.79</v>
          </cell>
          <cell r="P12">
            <v>13592.47</v>
          </cell>
        </row>
        <row r="13">
          <cell r="B13">
            <v>39484</v>
          </cell>
          <cell r="C13">
            <v>39478</v>
          </cell>
          <cell r="F13">
            <v>320.44</v>
          </cell>
          <cell r="G13">
            <v>244.03899999999999</v>
          </cell>
          <cell r="H13">
            <v>1.4621</v>
          </cell>
          <cell r="I13">
            <v>345.86822999999998</v>
          </cell>
          <cell r="J13">
            <v>34496.379999999997</v>
          </cell>
          <cell r="K13">
            <v>33856</v>
          </cell>
          <cell r="L13">
            <v>1336.91</v>
          </cell>
          <cell r="M13">
            <v>5724.1</v>
          </cell>
          <cell r="N13">
            <v>6733.72</v>
          </cell>
          <cell r="O13">
            <v>4723.8</v>
          </cell>
          <cell r="P13">
            <v>13207.15</v>
          </cell>
        </row>
        <row r="14">
          <cell r="B14">
            <v>39491</v>
          </cell>
          <cell r="C14">
            <v>39484</v>
          </cell>
          <cell r="F14">
            <v>320.70999999999998</v>
          </cell>
          <cell r="G14">
            <v>242.94300000000001</v>
          </cell>
          <cell r="H14">
            <v>1.4585999999999999</v>
          </cell>
          <cell r="I14">
            <v>356.30705999999998</v>
          </cell>
          <cell r="J14">
            <v>34505.69</v>
          </cell>
          <cell r="K14">
            <v>34014</v>
          </cell>
          <cell r="L14">
            <v>1348.86</v>
          </cell>
          <cell r="M14">
            <v>5879.3</v>
          </cell>
          <cell r="N14">
            <v>6962.28</v>
          </cell>
          <cell r="O14">
            <v>4858.6499999999996</v>
          </cell>
          <cell r="P14">
            <v>13626.45</v>
          </cell>
        </row>
        <row r="15">
          <cell r="B15">
            <v>39498</v>
          </cell>
          <cell r="C15">
            <v>39491</v>
          </cell>
          <cell r="F15">
            <v>320.86</v>
          </cell>
          <cell r="G15">
            <v>244.14099999999999</v>
          </cell>
          <cell r="H15">
            <v>1.4736</v>
          </cell>
          <cell r="I15">
            <v>354.96433000000002</v>
          </cell>
          <cell r="J15">
            <v>34562.5</v>
          </cell>
          <cell r="K15">
            <v>33816</v>
          </cell>
          <cell r="L15">
            <v>1342.53</v>
          </cell>
          <cell r="M15">
            <v>5932.2</v>
          </cell>
          <cell r="N15">
            <v>6904.85</v>
          </cell>
          <cell r="O15">
            <v>4858.8500000000004</v>
          </cell>
          <cell r="P15">
            <v>13688.28</v>
          </cell>
        </row>
        <row r="16">
          <cell r="B16">
            <v>39507</v>
          </cell>
          <cell r="C16">
            <v>39498</v>
          </cell>
          <cell r="F16">
            <v>320.79000000000002</v>
          </cell>
          <cell r="G16">
            <v>251.78</v>
          </cell>
          <cell r="H16">
            <v>1.5121</v>
          </cell>
          <cell r="I16">
            <v>351.17581000000001</v>
          </cell>
          <cell r="J16">
            <v>34297.89</v>
          </cell>
          <cell r="K16">
            <v>33587</v>
          </cell>
          <cell r="L16">
            <v>1330.63</v>
          </cell>
          <cell r="M16">
            <v>5884.3</v>
          </cell>
          <cell r="N16">
            <v>6748.13</v>
          </cell>
          <cell r="O16">
            <v>4790.66</v>
          </cell>
          <cell r="P16">
            <v>13603.02</v>
          </cell>
        </row>
        <row r="17">
          <cell r="B17">
            <v>39512</v>
          </cell>
          <cell r="C17">
            <v>39507</v>
          </cell>
          <cell r="D17">
            <v>34989</v>
          </cell>
          <cell r="F17">
            <v>320.64999999999998</v>
          </cell>
          <cell r="G17">
            <v>253.45699999999999</v>
          </cell>
          <cell r="H17">
            <v>1.5319</v>
          </cell>
          <cell r="I17">
            <v>342.74736999999999</v>
          </cell>
          <cell r="J17">
            <v>33801.93</v>
          </cell>
          <cell r="K17">
            <v>33443</v>
          </cell>
          <cell r="L17">
            <v>1308.94</v>
          </cell>
          <cell r="M17">
            <v>5766.4</v>
          </cell>
          <cell r="N17">
            <v>6591.31</v>
          </cell>
          <cell r="O17">
            <v>4678.05</v>
          </cell>
          <cell r="P17">
            <v>13215.42</v>
          </cell>
        </row>
        <row r="18">
          <cell r="B18">
            <v>39519</v>
          </cell>
          <cell r="C18">
            <v>39512</v>
          </cell>
          <cell r="D18">
            <v>34996</v>
          </cell>
          <cell r="F18">
            <v>320.94</v>
          </cell>
          <cell r="G18">
            <v>256.20999999999998</v>
          </cell>
          <cell r="H18">
            <v>1.5577000000000001</v>
          </cell>
          <cell r="I18">
            <v>338.51190858316744</v>
          </cell>
          <cell r="J18">
            <v>32832.44</v>
          </cell>
          <cell r="K18">
            <v>32518</v>
          </cell>
          <cell r="L18">
            <v>1315.48</v>
          </cell>
          <cell r="M18">
            <v>5692.4</v>
          </cell>
          <cell r="N18">
            <v>6500.56</v>
          </cell>
          <cell r="O18">
            <v>4630.1899999999996</v>
          </cell>
          <cell r="P18">
            <v>12433.44</v>
          </cell>
        </row>
        <row r="19">
          <cell r="B19">
            <v>39526</v>
          </cell>
          <cell r="C19">
            <v>39519</v>
          </cell>
          <cell r="D19">
            <v>35003</v>
          </cell>
          <cell r="F19">
            <v>321.33999999999997</v>
          </cell>
          <cell r="G19">
            <v>259.02</v>
          </cell>
          <cell r="H19">
            <v>1.5691999999999999</v>
          </cell>
          <cell r="I19">
            <v>328.01661999999999</v>
          </cell>
          <cell r="J19">
            <v>30511.51</v>
          </cell>
          <cell r="K19">
            <v>30873</v>
          </cell>
          <cell r="L19">
            <v>1329.51</v>
          </cell>
          <cell r="M19">
            <v>5495.2</v>
          </cell>
          <cell r="N19">
            <v>6319.99</v>
          </cell>
          <cell r="O19">
            <v>4533.72</v>
          </cell>
          <cell r="P19">
            <v>12260.44</v>
          </cell>
        </row>
        <row r="20">
          <cell r="B20">
            <v>39538</v>
          </cell>
          <cell r="C20">
            <v>39526</v>
          </cell>
          <cell r="D20">
            <v>39444</v>
          </cell>
          <cell r="F20">
            <v>321.66000000000003</v>
          </cell>
          <cell r="G20">
            <v>258.39600000000002</v>
          </cell>
          <cell r="H20">
            <v>1.5795999999999999</v>
          </cell>
          <cell r="I20">
            <v>337.70979999999997</v>
          </cell>
          <cell r="J20">
            <v>32885.82</v>
          </cell>
          <cell r="K20">
            <v>31616</v>
          </cell>
          <cell r="L20">
            <v>1322.7</v>
          </cell>
          <cell r="M20">
            <v>5702.1</v>
          </cell>
          <cell r="N20">
            <v>6534.97</v>
          </cell>
          <cell r="O20">
            <v>4707.07</v>
          </cell>
          <cell r="P20">
            <v>12525.54</v>
          </cell>
        </row>
        <row r="21">
          <cell r="B21">
            <v>39547</v>
          </cell>
          <cell r="C21">
            <v>39538</v>
          </cell>
          <cell r="D21">
            <v>39450</v>
          </cell>
          <cell r="F21">
            <v>322.14999999999998</v>
          </cell>
          <cell r="G21">
            <v>257.39999999999998</v>
          </cell>
          <cell r="H21">
            <v>1.5726</v>
          </cell>
          <cell r="I21">
            <v>347.52674999999999</v>
          </cell>
          <cell r="J21">
            <v>33174.18</v>
          </cell>
          <cell r="K21">
            <v>33640</v>
          </cell>
          <cell r="L21">
            <v>1360.55</v>
          </cell>
          <cell r="M21">
            <v>5965.1</v>
          </cell>
          <cell r="N21">
            <v>6704.32</v>
          </cell>
          <cell r="O21">
            <v>4859.42</v>
          </cell>
          <cell r="P21">
            <v>12945.3</v>
          </cell>
        </row>
        <row r="22">
          <cell r="B22">
            <v>39554</v>
          </cell>
          <cell r="C22">
            <v>39547</v>
          </cell>
          <cell r="D22">
            <v>39456</v>
          </cell>
          <cell r="F22">
            <v>322.42</v>
          </cell>
          <cell r="G22">
            <v>255.34200000000001</v>
          </cell>
          <cell r="H22">
            <v>1.5871999999999999</v>
          </cell>
          <cell r="I22">
            <v>345.40823999999998</v>
          </cell>
          <cell r="J22">
            <v>33148</v>
          </cell>
          <cell r="K22">
            <v>33256</v>
          </cell>
          <cell r="L22">
            <v>1387.69</v>
          </cell>
          <cell r="M22">
            <v>5980.4</v>
          </cell>
          <cell r="N22">
            <v>6681.81</v>
          </cell>
          <cell r="O22">
            <v>4862.1400000000003</v>
          </cell>
          <cell r="P22">
            <v>13398.3</v>
          </cell>
        </row>
        <row r="23">
          <cell r="B23">
            <v>39561</v>
          </cell>
          <cell r="C23">
            <v>39554</v>
          </cell>
          <cell r="D23">
            <v>39463</v>
          </cell>
          <cell r="F23">
            <v>322.45</v>
          </cell>
          <cell r="G23">
            <v>251.47399999999999</v>
          </cell>
          <cell r="H23">
            <v>1.5940000000000001</v>
          </cell>
          <cell r="I23">
            <v>350.32641999999998</v>
          </cell>
          <cell r="J23">
            <v>32825.379999999997</v>
          </cell>
          <cell r="K23">
            <v>33427</v>
          </cell>
          <cell r="L23">
            <v>1388.82</v>
          </cell>
          <cell r="M23">
            <v>6050.7</v>
          </cell>
          <cell r="N23">
            <v>6821.32</v>
          </cell>
          <cell r="O23">
            <v>4929.55</v>
          </cell>
          <cell r="P23">
            <v>13540.87</v>
          </cell>
        </row>
        <row r="24">
          <cell r="B24">
            <v>39568</v>
          </cell>
          <cell r="C24">
            <v>39561</v>
          </cell>
          <cell r="D24">
            <v>39470</v>
          </cell>
          <cell r="F24">
            <v>322.66000000000003</v>
          </cell>
          <cell r="G24">
            <v>250.982</v>
          </cell>
          <cell r="H24">
            <v>1.554</v>
          </cell>
          <cell r="I24">
            <v>356.29134819191989</v>
          </cell>
          <cell r="J24">
            <v>33191.54</v>
          </cell>
          <cell r="K24">
            <v>33954</v>
          </cell>
          <cell r="L24">
            <v>1385.59</v>
          </cell>
          <cell r="M24">
            <v>6087.3</v>
          </cell>
          <cell r="N24">
            <v>6948.82</v>
          </cell>
          <cell r="O24">
            <v>4996.54</v>
          </cell>
          <cell r="P24">
            <v>13849.99</v>
          </cell>
        </row>
        <row r="25">
          <cell r="B25">
            <v>39575</v>
          </cell>
          <cell r="C25">
            <v>39568</v>
          </cell>
          <cell r="D25">
            <v>39478</v>
          </cell>
          <cell r="F25">
            <v>323.12</v>
          </cell>
          <cell r="G25">
            <v>250.69499999999999</v>
          </cell>
          <cell r="H25">
            <v>1.5347</v>
          </cell>
          <cell r="I25">
            <v>362.84167000000002</v>
          </cell>
          <cell r="J25">
            <v>33775.769999999997</v>
          </cell>
          <cell r="K25">
            <v>34547</v>
          </cell>
          <cell r="L25">
            <v>1387.65</v>
          </cell>
          <cell r="M25">
            <v>6270.8</v>
          </cell>
          <cell r="N25">
            <v>7071.9</v>
          </cell>
          <cell r="O25">
            <v>5055.58</v>
          </cell>
          <cell r="P25">
            <v>13943.26</v>
          </cell>
        </row>
        <row r="26">
          <cell r="B26">
            <v>39582</v>
          </cell>
          <cell r="C26">
            <v>39575</v>
          </cell>
          <cell r="D26">
            <v>39484</v>
          </cell>
          <cell r="F26">
            <v>323.19</v>
          </cell>
          <cell r="G26">
            <v>248.85499999999999</v>
          </cell>
          <cell r="H26">
            <v>1.5439000000000001</v>
          </cell>
          <cell r="I26">
            <v>362.26780000000002</v>
          </cell>
          <cell r="J26">
            <v>33698.71</v>
          </cell>
          <cell r="K26">
            <v>34270</v>
          </cell>
          <cell r="L26">
            <v>1423.57</v>
          </cell>
          <cell r="M26">
            <v>6251.8</v>
          </cell>
          <cell r="N26">
            <v>7081.05</v>
          </cell>
          <cell r="O26">
            <v>5057.51</v>
          </cell>
          <cell r="P26">
            <v>14251.74</v>
          </cell>
        </row>
        <row r="27">
          <cell r="B27">
            <v>39589</v>
          </cell>
          <cell r="C27">
            <v>39582</v>
          </cell>
          <cell r="D27">
            <v>39491</v>
          </cell>
          <cell r="F27">
            <v>323.23</v>
          </cell>
          <cell r="G27">
            <v>250.68799999999999</v>
          </cell>
          <cell r="H27">
            <v>1.5752999999999999</v>
          </cell>
          <cell r="I27">
            <v>358.27686</v>
          </cell>
          <cell r="J27">
            <v>33413.370000000003</v>
          </cell>
          <cell r="K27">
            <v>33061</v>
          </cell>
          <cell r="L27">
            <v>1394.35</v>
          </cell>
          <cell r="M27">
            <v>6181.6</v>
          </cell>
          <cell r="N27">
            <v>7070.33</v>
          </cell>
          <cell r="O27">
            <v>5028.74</v>
          </cell>
          <cell r="P27">
            <v>13978.46</v>
          </cell>
        </row>
        <row r="28">
          <cell r="B28">
            <v>39598</v>
          </cell>
          <cell r="C28">
            <v>39589</v>
          </cell>
          <cell r="D28">
            <v>39498</v>
          </cell>
          <cell r="F28">
            <v>323.31</v>
          </cell>
          <cell r="G28">
            <v>247.25899999999999</v>
          </cell>
          <cell r="H28">
            <v>1.5540499999999999</v>
          </cell>
          <cell r="I28">
            <v>355.49692738328889</v>
          </cell>
          <cell r="J28">
            <v>33409.589999999997</v>
          </cell>
          <cell r="K28">
            <v>33225</v>
          </cell>
          <cell r="L28">
            <v>1400.3800100000001</v>
          </cell>
          <cell r="M28">
            <v>6053.5</v>
          </cell>
          <cell r="N28">
            <v>7096.79</v>
          </cell>
          <cell r="O28">
            <v>5014.2797899999996</v>
          </cell>
          <cell r="P28">
            <v>14338.54</v>
          </cell>
        </row>
        <row r="29">
          <cell r="B29">
            <v>39603</v>
          </cell>
          <cell r="C29">
            <v>39598</v>
          </cell>
          <cell r="D29">
            <v>39507</v>
          </cell>
          <cell r="F29">
            <v>323.14999999999998</v>
          </cell>
          <cell r="G29">
            <v>246.584</v>
          </cell>
          <cell r="H29">
            <v>1.5466</v>
          </cell>
          <cell r="I29">
            <v>349.21636000000001</v>
          </cell>
          <cell r="J29">
            <v>33079.410000000003</v>
          </cell>
          <cell r="K29">
            <v>32508</v>
          </cell>
          <cell r="L29">
            <v>1404.05</v>
          </cell>
          <cell r="M29">
            <v>5995.3</v>
          </cell>
          <cell r="N29">
            <v>6941.83</v>
          </cell>
          <cell r="O29">
            <v>4907.0600000000004</v>
          </cell>
          <cell r="P29">
            <v>14341.12</v>
          </cell>
        </row>
        <row r="30">
          <cell r="B30">
            <v>39610</v>
          </cell>
          <cell r="C30">
            <v>39603</v>
          </cell>
          <cell r="D30">
            <v>39512</v>
          </cell>
          <cell r="F30">
            <v>322.56</v>
          </cell>
          <cell r="G30">
            <v>242.571</v>
          </cell>
          <cell r="H30">
            <v>1.5417000000000001</v>
          </cell>
          <cell r="I30">
            <v>335.63344999999998</v>
          </cell>
          <cell r="J30">
            <v>31558.01</v>
          </cell>
          <cell r="K30">
            <v>30728</v>
          </cell>
          <cell r="L30">
            <v>1347.23</v>
          </cell>
          <cell r="M30">
            <v>5790.5</v>
          </cell>
          <cell r="N30">
            <v>6714.52</v>
          </cell>
          <cell r="O30">
            <v>4672.3</v>
          </cell>
          <cell r="P30">
            <v>13888.6</v>
          </cell>
        </row>
        <row r="31">
          <cell r="B31">
            <v>39617</v>
          </cell>
          <cell r="C31">
            <v>39610</v>
          </cell>
          <cell r="D31">
            <v>39519</v>
          </cell>
          <cell r="F31">
            <v>322.26</v>
          </cell>
          <cell r="G31">
            <v>243.34899999999999</v>
          </cell>
          <cell r="H31">
            <v>1.5488</v>
          </cell>
          <cell r="I31">
            <v>331.19411176033833</v>
          </cell>
          <cell r="J31">
            <v>31320.58</v>
          </cell>
          <cell r="K31">
            <v>30464</v>
          </cell>
          <cell r="L31">
            <v>1342.82996</v>
          </cell>
          <cell r="M31">
            <v>5708.3990000000003</v>
          </cell>
          <cell r="N31">
            <v>6721.17</v>
          </cell>
          <cell r="O31">
            <v>4591.3900000000003</v>
          </cell>
          <cell r="P31">
            <v>14130.17</v>
          </cell>
        </row>
        <row r="32">
          <cell r="B32">
            <v>39624</v>
          </cell>
          <cell r="C32">
            <v>39617</v>
          </cell>
          <cell r="D32">
            <v>39526</v>
          </cell>
          <cell r="F32">
            <v>322.7</v>
          </cell>
          <cell r="G32">
            <v>247.93799999999999</v>
          </cell>
          <cell r="H32">
            <v>1.5748500000000001</v>
          </cell>
          <cell r="I32">
            <v>318.14458519859033</v>
          </cell>
          <cell r="J32">
            <v>30104.58</v>
          </cell>
          <cell r="K32">
            <v>30009</v>
          </cell>
          <cell r="L32">
            <v>1283.1500000000001</v>
          </cell>
          <cell r="M32">
            <v>5518</v>
          </cell>
          <cell r="N32">
            <v>6459.6</v>
          </cell>
          <cell r="O32">
            <v>4426.1899400000002</v>
          </cell>
          <cell r="P32">
            <v>13822.32</v>
          </cell>
        </row>
        <row r="33">
          <cell r="B33">
            <v>39629</v>
          </cell>
          <cell r="C33">
            <v>39624</v>
          </cell>
          <cell r="D33">
            <v>39538</v>
          </cell>
          <cell r="F33">
            <v>322.8</v>
          </cell>
          <cell r="G33">
            <v>248.22</v>
          </cell>
          <cell r="H33">
            <v>1.57555</v>
          </cell>
          <cell r="I33">
            <v>319.03143999999998</v>
          </cell>
          <cell r="J33">
            <v>29304.06</v>
          </cell>
          <cell r="K33">
            <v>29346</v>
          </cell>
          <cell r="L33">
            <v>1280</v>
          </cell>
          <cell r="M33">
            <v>5625.9</v>
          </cell>
          <cell r="N33">
            <v>6418.32</v>
          </cell>
          <cell r="O33">
            <v>4434.8500000000004</v>
          </cell>
          <cell r="P33">
            <v>13481.38</v>
          </cell>
        </row>
        <row r="34">
          <cell r="B34">
            <v>39638</v>
          </cell>
          <cell r="C34">
            <v>39629</v>
          </cell>
          <cell r="D34">
            <v>39547</v>
          </cell>
          <cell r="F34">
            <v>323.36</v>
          </cell>
          <cell r="G34">
            <v>250.35499999999999</v>
          </cell>
          <cell r="H34">
            <v>1.5708</v>
          </cell>
          <cell r="I34">
            <v>308.14871403106702</v>
          </cell>
          <cell r="J34">
            <v>28513.9</v>
          </cell>
          <cell r="K34">
            <v>28771</v>
          </cell>
          <cell r="L34">
            <v>1253.3900000000001</v>
          </cell>
          <cell r="M34">
            <v>5406.8</v>
          </cell>
          <cell r="N34">
            <v>6305</v>
          </cell>
          <cell r="O34">
            <v>4231.5649999999996</v>
          </cell>
          <cell r="P34">
            <v>13067.2</v>
          </cell>
        </row>
        <row r="35">
          <cell r="B35">
            <v>39645</v>
          </cell>
          <cell r="C35">
            <v>39638</v>
          </cell>
          <cell r="D35">
            <v>39554</v>
          </cell>
          <cell r="F35">
            <v>323.5</v>
          </cell>
          <cell r="G35">
            <v>251.25399999999999</v>
          </cell>
          <cell r="H35">
            <v>1.5849</v>
          </cell>
          <cell r="I35">
            <v>304.92144614802197</v>
          </cell>
          <cell r="J35">
            <v>27036.73</v>
          </cell>
          <cell r="K35">
            <v>27194</v>
          </cell>
          <cell r="L35">
            <v>1260.32</v>
          </cell>
          <cell r="M35">
            <v>5286.3</v>
          </cell>
          <cell r="N35">
            <v>6271.27</v>
          </cell>
          <cell r="O35">
            <v>4225.99</v>
          </cell>
          <cell r="P35">
            <v>12887.95</v>
          </cell>
        </row>
        <row r="36">
          <cell r="B36">
            <v>39652</v>
          </cell>
          <cell r="C36">
            <v>39645</v>
          </cell>
          <cell r="D36">
            <v>39561</v>
          </cell>
          <cell r="F36">
            <v>324.27999999999997</v>
          </cell>
          <cell r="G36">
            <v>247.85499999999999</v>
          </cell>
          <cell r="H36">
            <v>1.5741000000000001</v>
          </cell>
          <cell r="I36">
            <v>310.76157000000001</v>
          </cell>
          <cell r="J36">
            <v>28840.83</v>
          </cell>
          <cell r="K36">
            <v>28841</v>
          </cell>
          <cell r="L36">
            <v>1252.54</v>
          </cell>
          <cell r="M36">
            <v>5362.3</v>
          </cell>
          <cell r="N36">
            <v>6440.7</v>
          </cell>
          <cell r="O36">
            <v>4347.99</v>
          </cell>
          <cell r="P36">
            <v>13603.31</v>
          </cell>
        </row>
        <row r="37">
          <cell r="B37">
            <v>39660</v>
          </cell>
          <cell r="C37">
            <v>39652</v>
          </cell>
          <cell r="D37">
            <v>39568</v>
          </cell>
          <cell r="F37">
            <v>324.92</v>
          </cell>
          <cell r="G37">
            <v>249.01599999999999</v>
          </cell>
          <cell r="H37">
            <v>1.5589</v>
          </cell>
          <cell r="I37">
            <v>312.72552000000002</v>
          </cell>
          <cell r="J37">
            <v>28348.880000000001</v>
          </cell>
          <cell r="K37">
            <v>28331</v>
          </cell>
          <cell r="L37">
            <v>1267.3800000000001</v>
          </cell>
          <cell r="M37">
            <v>5411.9</v>
          </cell>
          <cell r="N37">
            <v>6479.56</v>
          </cell>
          <cell r="O37">
            <v>4392.3599999999997</v>
          </cell>
          <cell r="P37">
            <v>13376.81</v>
          </cell>
        </row>
        <row r="38">
          <cell r="B38">
            <v>39666</v>
          </cell>
          <cell r="C38">
            <v>39660</v>
          </cell>
          <cell r="D38">
            <v>39575</v>
          </cell>
          <cell r="F38">
            <v>325.29000000000002</v>
          </cell>
          <cell r="G38">
            <v>247.41200000000001</v>
          </cell>
          <cell r="H38">
            <v>1.5325</v>
          </cell>
          <cell r="I38">
            <v>316.98531810766718</v>
          </cell>
          <cell r="J38">
            <v>29121.5</v>
          </cell>
          <cell r="K38">
            <v>29014</v>
          </cell>
          <cell r="L38">
            <v>1266.07</v>
          </cell>
          <cell r="M38">
            <v>5477.5</v>
          </cell>
          <cell r="N38">
            <v>6543.49</v>
          </cell>
          <cell r="O38">
            <v>4434.63</v>
          </cell>
          <cell r="P38">
            <v>13257.99</v>
          </cell>
        </row>
        <row r="39">
          <cell r="B39">
            <v>39673</v>
          </cell>
          <cell r="C39">
            <v>39666</v>
          </cell>
          <cell r="D39">
            <v>39582</v>
          </cell>
          <cell r="F39">
            <v>325.61</v>
          </cell>
          <cell r="G39">
            <v>244.50700000000001</v>
          </cell>
          <cell r="H39">
            <v>1.4825999999999999</v>
          </cell>
          <cell r="I39">
            <v>316.58572777552951</v>
          </cell>
          <cell r="J39">
            <v>29365.56</v>
          </cell>
          <cell r="K39">
            <v>28758</v>
          </cell>
          <cell r="L39">
            <v>1292.93</v>
          </cell>
          <cell r="M39">
            <v>5497.4</v>
          </cell>
          <cell r="N39">
            <v>6442.21</v>
          </cell>
          <cell r="O39">
            <v>4420.91</v>
          </cell>
          <cell r="P39">
            <v>12956.8</v>
          </cell>
        </row>
        <row r="40">
          <cell r="B40">
            <v>39680</v>
          </cell>
          <cell r="C40">
            <v>39673</v>
          </cell>
          <cell r="D40">
            <v>39589</v>
          </cell>
          <cell r="F40">
            <v>325.33</v>
          </cell>
          <cell r="G40">
            <v>245.672</v>
          </cell>
          <cell r="H40">
            <v>1.4734</v>
          </cell>
          <cell r="I40">
            <v>306.69578000000001</v>
          </cell>
          <cell r="J40">
            <v>28605.51</v>
          </cell>
          <cell r="K40">
            <v>28148</v>
          </cell>
          <cell r="L40">
            <v>1277.72</v>
          </cell>
          <cell r="M40">
            <v>5370.2</v>
          </cell>
          <cell r="N40">
            <v>6236.96</v>
          </cell>
          <cell r="O40">
            <v>4304.6099999999997</v>
          </cell>
          <cell r="P40">
            <v>12752.21</v>
          </cell>
        </row>
        <row r="41">
          <cell r="B41">
            <v>39687</v>
          </cell>
          <cell r="C41">
            <v>39680</v>
          </cell>
          <cell r="D41">
            <v>39598</v>
          </cell>
          <cell r="F41">
            <v>325.95</v>
          </cell>
          <cell r="G41">
            <v>244.95</v>
          </cell>
          <cell r="H41">
            <v>1.4705999999999999</v>
          </cell>
          <cell r="I41">
            <v>316.70066639466887</v>
          </cell>
          <cell r="J41">
            <v>29050.23</v>
          </cell>
          <cell r="K41">
            <v>27958</v>
          </cell>
          <cell r="L41">
            <v>1300.68</v>
          </cell>
          <cell r="M41">
            <v>5601.2</v>
          </cell>
          <cell r="N41">
            <v>6420.54</v>
          </cell>
          <cell r="O41">
            <v>4461.49</v>
          </cell>
          <cell r="P41">
            <v>12768.25</v>
          </cell>
        </row>
        <row r="42">
          <cell r="B42">
            <v>39689</v>
          </cell>
          <cell r="C42">
            <v>39687</v>
          </cell>
          <cell r="D42">
            <v>39603</v>
          </cell>
          <cell r="F42">
            <v>326.04000000000002</v>
          </cell>
          <cell r="G42">
            <v>244.25299999999999</v>
          </cell>
          <cell r="H42">
            <v>1.4771000000000001</v>
          </cell>
          <cell r="I42">
            <v>317.36457000000001</v>
          </cell>
          <cell r="J42">
            <v>29875.66</v>
          </cell>
          <cell r="K42">
            <v>28789</v>
          </cell>
          <cell r="L42">
            <v>1282.83</v>
          </cell>
          <cell r="M42">
            <v>5636.6</v>
          </cell>
          <cell r="N42">
            <v>6422.3</v>
          </cell>
          <cell r="O42">
            <v>4482.6000000000004</v>
          </cell>
          <cell r="P42">
            <v>13072.87</v>
          </cell>
        </row>
        <row r="43">
          <cell r="B43">
            <v>39694</v>
          </cell>
          <cell r="C43">
            <v>39689</v>
          </cell>
          <cell r="D43">
            <v>39610</v>
          </cell>
          <cell r="F43">
            <v>326.48</v>
          </cell>
          <cell r="G43">
            <v>242.63</v>
          </cell>
          <cell r="H43">
            <v>1.4488000000000001</v>
          </cell>
          <cell r="I43">
            <v>304.04472667034787</v>
          </cell>
          <cell r="J43">
            <v>29968.46</v>
          </cell>
          <cell r="K43">
            <v>29061</v>
          </cell>
          <cell r="L43">
            <v>1236.83</v>
          </cell>
          <cell r="M43">
            <v>5362.1</v>
          </cell>
          <cell r="N43">
            <v>6279.57</v>
          </cell>
          <cell r="O43">
            <v>4304.01</v>
          </cell>
          <cell r="P43">
            <v>12557.66</v>
          </cell>
        </row>
        <row r="44">
          <cell r="B44">
            <v>39701</v>
          </cell>
          <cell r="C44">
            <v>39694</v>
          </cell>
          <cell r="D44">
            <v>39617</v>
          </cell>
          <cell r="F44">
            <v>326.70999999999998</v>
          </cell>
          <cell r="G44">
            <v>240.49799999999999</v>
          </cell>
          <cell r="H44">
            <v>1.3934</v>
          </cell>
          <cell r="I44">
            <v>303.58771000000002</v>
          </cell>
          <cell r="J44">
            <v>28727.21</v>
          </cell>
          <cell r="K44">
            <v>28064</v>
          </cell>
          <cell r="L44">
            <v>1241.6300000000001</v>
          </cell>
          <cell r="M44">
            <v>5318.4</v>
          </cell>
          <cell r="N44">
            <v>6178.9</v>
          </cell>
          <cell r="O44">
            <v>4249.07</v>
          </cell>
          <cell r="P44">
            <v>12102.5</v>
          </cell>
        </row>
        <row r="45">
          <cell r="B45">
            <v>39708</v>
          </cell>
          <cell r="C45">
            <v>39701</v>
          </cell>
          <cell r="D45">
            <v>39624</v>
          </cell>
          <cell r="F45">
            <v>326.67</v>
          </cell>
          <cell r="G45">
            <v>245.55199999999999</v>
          </cell>
          <cell r="H45">
            <v>1.4501999999999999</v>
          </cell>
          <cell r="I45">
            <v>280.67163149910357</v>
          </cell>
          <cell r="J45">
            <v>26814.36</v>
          </cell>
          <cell r="K45">
            <v>25920</v>
          </cell>
          <cell r="L45">
            <v>1206.51</v>
          </cell>
          <cell r="M45">
            <v>4880</v>
          </cell>
          <cell r="N45">
            <v>5863.42</v>
          </cell>
          <cell r="O45">
            <v>3957.86</v>
          </cell>
          <cell r="P45">
            <v>11489.3</v>
          </cell>
        </row>
        <row r="46">
          <cell r="B46">
            <v>39715</v>
          </cell>
          <cell r="C46">
            <v>39708</v>
          </cell>
          <cell r="D46">
            <v>39629</v>
          </cell>
          <cell r="F46">
            <v>326.98</v>
          </cell>
          <cell r="G46">
            <v>244.797</v>
          </cell>
          <cell r="H46">
            <v>1.47</v>
          </cell>
          <cell r="I46">
            <v>298.2789115646259</v>
          </cell>
          <cell r="J46">
            <v>26703.73</v>
          </cell>
          <cell r="K46">
            <v>26929</v>
          </cell>
          <cell r="L46">
            <v>1209.18</v>
          </cell>
          <cell r="M46">
            <v>5197.0200000000004</v>
          </cell>
          <cell r="N46">
            <v>6173.03</v>
          </cell>
          <cell r="O46">
            <v>4226.8100000000004</v>
          </cell>
          <cell r="P46">
            <v>12006.53</v>
          </cell>
        </row>
        <row r="47">
          <cell r="B47">
            <v>39721</v>
          </cell>
          <cell r="C47">
            <v>39715</v>
          </cell>
          <cell r="D47">
            <v>39638</v>
          </cell>
          <cell r="F47">
            <v>326.86</v>
          </cell>
          <cell r="G47">
            <v>241.458</v>
          </cell>
          <cell r="H47">
            <v>1.4302999999999999</v>
          </cell>
          <cell r="I47">
            <v>282.65404000000001</v>
          </cell>
          <cell r="J47">
            <v>25428.73</v>
          </cell>
          <cell r="K47">
            <v>25530</v>
          </cell>
          <cell r="L47">
            <v>1148.03</v>
          </cell>
          <cell r="M47">
            <v>4902.45</v>
          </cell>
          <cell r="N47">
            <v>5831.02</v>
          </cell>
          <cell r="O47">
            <v>4032.1</v>
          </cell>
          <cell r="P47">
            <v>11259.86</v>
          </cell>
        </row>
        <row r="48">
          <cell r="B48">
            <v>39729</v>
          </cell>
          <cell r="C48">
            <v>39721</v>
          </cell>
          <cell r="D48">
            <v>39645</v>
          </cell>
          <cell r="F48">
            <v>328.18</v>
          </cell>
          <cell r="G48">
            <v>243.50800000000001</v>
          </cell>
          <cell r="H48">
            <v>1.3731</v>
          </cell>
          <cell r="I48">
            <v>244.14813000000001</v>
          </cell>
          <cell r="J48">
            <v>21394.51</v>
          </cell>
          <cell r="K48">
            <v>22280</v>
          </cell>
          <cell r="L48">
            <v>909.92</v>
          </cell>
          <cell r="M48">
            <v>4313.8</v>
          </cell>
          <cell r="N48">
            <v>4887</v>
          </cell>
          <cell r="O48">
            <v>3442.7</v>
          </cell>
          <cell r="P48">
            <v>9157.49</v>
          </cell>
        </row>
        <row r="49">
          <cell r="B49">
            <v>39736</v>
          </cell>
          <cell r="C49">
            <v>39729</v>
          </cell>
          <cell r="D49">
            <v>39652</v>
          </cell>
          <cell r="F49">
            <v>327.32</v>
          </cell>
          <cell r="G49">
            <v>240.03100000000001</v>
          </cell>
          <cell r="H49">
            <v>1.3625</v>
          </cell>
          <cell r="I49">
            <v>227.3107</v>
          </cell>
          <cell r="J49">
            <v>22607.63</v>
          </cell>
          <cell r="K49">
            <v>22221</v>
          </cell>
          <cell r="L49">
            <v>946.43</v>
          </cell>
          <cell r="M49">
            <v>3861.39</v>
          </cell>
          <cell r="N49">
            <v>4622.8100000000004</v>
          </cell>
          <cell r="O49">
            <v>3181</v>
          </cell>
          <cell r="P49">
            <v>8458.4500000000007</v>
          </cell>
        </row>
        <row r="50">
          <cell r="B50">
            <v>39743</v>
          </cell>
          <cell r="C50">
            <v>39736</v>
          </cell>
          <cell r="D50">
            <v>39660</v>
          </cell>
          <cell r="F50">
            <v>327.56</v>
          </cell>
          <cell r="G50">
            <v>240.124</v>
          </cell>
          <cell r="H50">
            <v>1.2843</v>
          </cell>
          <cell r="I50">
            <v>230.10051000000001</v>
          </cell>
          <cell r="J50">
            <v>22080.33</v>
          </cell>
          <cell r="K50">
            <v>21093</v>
          </cell>
          <cell r="L50">
            <v>908.11</v>
          </cell>
          <cell r="M50">
            <v>4087.83</v>
          </cell>
          <cell r="N50">
            <v>4519.7</v>
          </cell>
          <cell r="O50">
            <v>3310.87</v>
          </cell>
          <cell r="P50">
            <v>8460.98</v>
          </cell>
        </row>
        <row r="51">
          <cell r="B51">
            <v>39752</v>
          </cell>
          <cell r="C51">
            <v>39743</v>
          </cell>
          <cell r="D51">
            <v>39666</v>
          </cell>
          <cell r="F51">
            <v>325.62</v>
          </cell>
          <cell r="G51">
            <v>237.28200000000001</v>
          </cell>
          <cell r="H51">
            <v>1.2757000000000001</v>
          </cell>
          <cell r="I51">
            <v>244.98245</v>
          </cell>
          <cell r="J51">
            <v>22059.61</v>
          </cell>
          <cell r="K51">
            <v>21367</v>
          </cell>
          <cell r="L51">
            <v>969.35</v>
          </cell>
          <cell r="M51">
            <v>4377.34</v>
          </cell>
          <cell r="N51">
            <v>4987.97</v>
          </cell>
          <cell r="O51">
            <v>3487.07</v>
          </cell>
          <cell r="P51">
            <v>8576.98</v>
          </cell>
        </row>
        <row r="52">
          <cell r="B52">
            <v>39757</v>
          </cell>
          <cell r="C52">
            <v>39752</v>
          </cell>
          <cell r="D52">
            <v>39673</v>
          </cell>
          <cell r="F52">
            <v>325.32</v>
          </cell>
          <cell r="G52">
            <v>239.78700000000001</v>
          </cell>
          <cell r="H52">
            <v>1.2769999999999999</v>
          </cell>
          <cell r="I52">
            <v>237.70555990602978</v>
          </cell>
          <cell r="J52">
            <v>23364.16</v>
          </cell>
          <cell r="K52">
            <v>22758</v>
          </cell>
          <cell r="L52">
            <v>904.88</v>
          </cell>
          <cell r="M52">
            <v>4272.41</v>
          </cell>
          <cell r="N52">
            <v>4813.57</v>
          </cell>
          <cell r="O52">
            <v>3387.25</v>
          </cell>
          <cell r="P52">
            <v>8899.14</v>
          </cell>
        </row>
        <row r="53">
          <cell r="B53">
            <v>39764</v>
          </cell>
          <cell r="C53">
            <v>39757</v>
          </cell>
          <cell r="D53">
            <v>39680</v>
          </cell>
          <cell r="F53">
            <v>325.16000000000003</v>
          </cell>
          <cell r="G53">
            <v>239.38499999999999</v>
          </cell>
          <cell r="H53">
            <v>1.2524999999999999</v>
          </cell>
          <cell r="I53">
            <v>225.68463073852297</v>
          </cell>
          <cell r="J53">
            <v>22074.63</v>
          </cell>
          <cell r="K53">
            <v>20227</v>
          </cell>
          <cell r="L53">
            <v>911.29</v>
          </cell>
          <cell r="M53">
            <v>4169.21</v>
          </cell>
          <cell r="N53">
            <v>4649.5200000000004</v>
          </cell>
          <cell r="O53">
            <v>3269.46</v>
          </cell>
          <cell r="P53">
            <v>8238.64</v>
          </cell>
        </row>
        <row r="54">
          <cell r="B54">
            <v>39771</v>
          </cell>
          <cell r="C54">
            <v>39764</v>
          </cell>
          <cell r="D54">
            <v>39687</v>
          </cell>
          <cell r="F54">
            <v>323.01</v>
          </cell>
          <cell r="G54">
            <v>242.67</v>
          </cell>
          <cell r="H54">
            <v>1.2634000000000001</v>
          </cell>
          <cell r="I54">
            <v>205.91686999999999</v>
          </cell>
          <cell r="J54">
            <v>21168.42</v>
          </cell>
          <cell r="K54">
            <v>19535</v>
          </cell>
          <cell r="L54">
            <v>752.44</v>
          </cell>
          <cell r="M54">
            <v>3874.99</v>
          </cell>
          <cell r="N54">
            <v>4220.2</v>
          </cell>
          <cell r="O54">
            <v>2980.42</v>
          </cell>
          <cell r="P54">
            <v>7703.04</v>
          </cell>
        </row>
        <row r="55">
          <cell r="B55">
            <v>39780</v>
          </cell>
          <cell r="C55">
            <v>39771</v>
          </cell>
          <cell r="D55">
            <v>39689</v>
          </cell>
          <cell r="F55">
            <v>322.70999999999998</v>
          </cell>
          <cell r="G55">
            <v>245.47</v>
          </cell>
          <cell r="H55">
            <v>1.2726999999999999</v>
          </cell>
          <cell r="I55">
            <v>227.59870000000001</v>
          </cell>
          <cell r="J55">
            <v>20902.45</v>
          </cell>
          <cell r="K55">
            <v>19985</v>
          </cell>
          <cell r="L55">
            <v>847.09</v>
          </cell>
          <cell r="M55">
            <v>4288.01</v>
          </cell>
          <cell r="N55">
            <v>4669.4399999999996</v>
          </cell>
          <cell r="O55">
            <v>3262.68</v>
          </cell>
          <cell r="P55">
            <v>8512.27</v>
          </cell>
        </row>
        <row r="56">
          <cell r="B56">
            <v>39785</v>
          </cell>
          <cell r="C56">
            <v>39780</v>
          </cell>
          <cell r="D56">
            <v>39694</v>
          </cell>
          <cell r="E56">
            <v>34989</v>
          </cell>
          <cell r="F56">
            <v>323.01</v>
          </cell>
          <cell r="G56">
            <v>249.798</v>
          </cell>
          <cell r="H56">
            <v>1.262</v>
          </cell>
          <cell r="I56">
            <v>220.02377179080824</v>
          </cell>
          <cell r="J56">
            <v>20060.59</v>
          </cell>
          <cell r="K56">
            <v>19129</v>
          </cell>
          <cell r="L56">
            <v>845.22</v>
          </cell>
          <cell r="M56">
            <v>4163.6099999999997</v>
          </cell>
          <cell r="N56">
            <v>4564.2299999999996</v>
          </cell>
          <cell r="O56">
            <v>3161.16</v>
          </cell>
          <cell r="P56">
            <v>7924.24</v>
          </cell>
        </row>
        <row r="57">
          <cell r="B57">
            <v>39792</v>
          </cell>
          <cell r="C57">
            <v>39785</v>
          </cell>
          <cell r="D57">
            <v>39701</v>
          </cell>
          <cell r="E57">
            <v>34996</v>
          </cell>
          <cell r="F57">
            <v>322.27</v>
          </cell>
          <cell r="G57">
            <v>253.23500000000001</v>
          </cell>
          <cell r="H57">
            <v>1.3214999999999999</v>
          </cell>
          <cell r="I57">
            <v>225.22107</v>
          </cell>
          <cell r="J57">
            <v>20366.97</v>
          </cell>
          <cell r="K57">
            <v>19830</v>
          </cell>
          <cell r="L57">
            <v>873.59</v>
          </cell>
          <cell r="M57">
            <v>4388.6899999999996</v>
          </cell>
          <cell r="N57">
            <v>4767.2</v>
          </cell>
          <cell r="O57">
            <v>3306.13</v>
          </cell>
          <cell r="P57">
            <v>8720.5499999999993</v>
          </cell>
        </row>
        <row r="58">
          <cell r="B58">
            <v>39799</v>
          </cell>
          <cell r="C58">
            <v>39792</v>
          </cell>
          <cell r="D58">
            <v>39708</v>
          </cell>
          <cell r="E58">
            <v>35003</v>
          </cell>
          <cell r="F58">
            <v>323</v>
          </cell>
          <cell r="G58">
            <v>268.51499999999999</v>
          </cell>
          <cell r="H58">
            <v>1.4058999999999999</v>
          </cell>
          <cell r="I58">
            <v>218.33752999999999</v>
          </cell>
          <cell r="J58">
            <v>20151.07</v>
          </cell>
          <cell r="K58">
            <v>19352</v>
          </cell>
          <cell r="L58">
            <v>885.28</v>
          </cell>
          <cell r="M58">
            <v>4330.66</v>
          </cell>
          <cell r="N58">
            <v>4756.3999999999996</v>
          </cell>
          <cell r="O58">
            <v>3234.15</v>
          </cell>
          <cell r="P58">
            <v>8667.23</v>
          </cell>
        </row>
        <row r="59">
          <cell r="B59">
            <v>39812</v>
          </cell>
          <cell r="C59">
            <v>39799</v>
          </cell>
          <cell r="D59">
            <v>39715</v>
          </cell>
          <cell r="E59">
            <v>39444</v>
          </cell>
          <cell r="F59">
            <v>325.58</v>
          </cell>
          <cell r="G59">
            <v>265.589</v>
          </cell>
          <cell r="H59">
            <v>1.3916999999999999</v>
          </cell>
          <cell r="I59">
            <v>219.04248000000001</v>
          </cell>
          <cell r="J59">
            <v>20100.490000000002</v>
          </cell>
          <cell r="K59">
            <v>19460</v>
          </cell>
          <cell r="L59">
            <v>903.25</v>
          </cell>
          <cell r="M59">
            <v>4434.17</v>
          </cell>
          <cell r="N59">
            <v>4810.2</v>
          </cell>
          <cell r="O59">
            <v>3217.97</v>
          </cell>
          <cell r="P59">
            <v>8859.56</v>
          </cell>
        </row>
        <row r="60">
          <cell r="B60">
            <v>39820</v>
          </cell>
          <cell r="C60">
            <v>39812</v>
          </cell>
          <cell r="D60">
            <v>39721</v>
          </cell>
          <cell r="E60">
            <v>39450</v>
          </cell>
          <cell r="F60">
            <v>328.21</v>
          </cell>
          <cell r="G60">
            <v>257.86099999999999</v>
          </cell>
          <cell r="H60">
            <v>1.3594999999999999</v>
          </cell>
          <cell r="I60">
            <v>232.90180213313718</v>
          </cell>
          <cell r="J60">
            <v>21151.18</v>
          </cell>
          <cell r="K60">
            <v>20606</v>
          </cell>
          <cell r="L60">
            <v>906.65</v>
          </cell>
          <cell r="M60">
            <v>4507.51</v>
          </cell>
          <cell r="N60">
            <v>4937.47</v>
          </cell>
          <cell r="O60">
            <v>3346.09</v>
          </cell>
          <cell r="P60">
            <v>9239.24</v>
          </cell>
        </row>
        <row r="61">
          <cell r="B61">
            <v>39828</v>
          </cell>
          <cell r="C61">
            <v>39820</v>
          </cell>
          <cell r="D61">
            <v>39729</v>
          </cell>
          <cell r="E61">
            <v>39456</v>
          </cell>
          <cell r="F61">
            <v>328.5</v>
          </cell>
          <cell r="G61">
            <v>257.36900000000003</v>
          </cell>
          <cell r="H61">
            <v>1.3172999999999999</v>
          </cell>
          <cell r="I61">
            <v>210.28781000000001</v>
          </cell>
          <cell r="J61">
            <v>19924.400000000001</v>
          </cell>
          <cell r="K61">
            <v>18402</v>
          </cell>
          <cell r="L61">
            <v>843.74</v>
          </cell>
          <cell r="M61">
            <v>4121.1099999999997</v>
          </cell>
          <cell r="N61">
            <v>4336.7299999999996</v>
          </cell>
          <cell r="O61">
            <v>2995.88</v>
          </cell>
          <cell r="P61">
            <v>8023.31</v>
          </cell>
        </row>
        <row r="62">
          <cell r="B62">
            <v>39835</v>
          </cell>
          <cell r="C62">
            <v>39828</v>
          </cell>
          <cell r="D62">
            <v>39736</v>
          </cell>
          <cell r="E62">
            <v>39463</v>
          </cell>
          <cell r="F62">
            <v>328.62</v>
          </cell>
          <cell r="G62">
            <v>254.22900000000001</v>
          </cell>
          <cell r="H62">
            <v>1.2909999999999999</v>
          </cell>
          <cell r="I62">
            <v>201.01850999999999</v>
          </cell>
          <cell r="J62">
            <v>19159.53</v>
          </cell>
          <cell r="K62">
            <v>17369</v>
          </cell>
          <cell r="L62">
            <v>827.5</v>
          </cell>
          <cell r="M62">
            <v>4052.23</v>
          </cell>
          <cell r="N62">
            <v>4219.42</v>
          </cell>
          <cell r="O62">
            <v>2869.62</v>
          </cell>
          <cell r="P62">
            <v>8051.74</v>
          </cell>
        </row>
        <row r="63">
          <cell r="B63">
            <v>39843</v>
          </cell>
          <cell r="C63">
            <v>39835</v>
          </cell>
          <cell r="D63">
            <v>39743</v>
          </cell>
          <cell r="E63">
            <v>39470</v>
          </cell>
          <cell r="F63">
            <v>329.3</v>
          </cell>
          <cell r="G63">
            <v>252.01599999999999</v>
          </cell>
          <cell r="H63">
            <v>1.2816000000000001</v>
          </cell>
          <cell r="I63">
            <v>210.19038701622969</v>
          </cell>
          <cell r="J63">
            <v>19693.099999999999</v>
          </cell>
          <cell r="K63">
            <v>17934</v>
          </cell>
          <cell r="L63">
            <v>825.88</v>
          </cell>
          <cell r="M63">
            <v>4149.6400000000003</v>
          </cell>
          <cell r="N63">
            <v>4338.3500000000004</v>
          </cell>
          <cell r="O63">
            <v>2973.92</v>
          </cell>
          <cell r="P63">
            <v>7994.05</v>
          </cell>
        </row>
        <row r="64">
          <cell r="B64">
            <v>39849</v>
          </cell>
          <cell r="C64">
            <v>39843</v>
          </cell>
          <cell r="D64">
            <v>39752</v>
          </cell>
          <cell r="E64">
            <v>39478</v>
          </cell>
          <cell r="F64">
            <v>330.85</v>
          </cell>
          <cell r="G64">
            <v>252.03</v>
          </cell>
          <cell r="H64">
            <v>1.2828999999999999</v>
          </cell>
          <cell r="I64">
            <v>213.67760999999999</v>
          </cell>
          <cell r="J64">
            <v>19510.240000000002</v>
          </cell>
          <cell r="K64">
            <v>18013</v>
          </cell>
          <cell r="L64">
            <v>845.85</v>
          </cell>
          <cell r="M64">
            <v>4228.93</v>
          </cell>
          <cell r="N64">
            <v>4510.49</v>
          </cell>
          <cell r="O64">
            <v>3066.29</v>
          </cell>
          <cell r="P64">
            <v>7949.65</v>
          </cell>
        </row>
        <row r="65">
          <cell r="B65">
            <v>39856</v>
          </cell>
          <cell r="C65">
            <v>39849</v>
          </cell>
          <cell r="D65">
            <v>39757</v>
          </cell>
          <cell r="E65">
            <v>39484</v>
          </cell>
          <cell r="F65">
            <v>330.93</v>
          </cell>
          <cell r="G65">
            <v>252.86799999999999</v>
          </cell>
          <cell r="H65">
            <v>1.2938000000000001</v>
          </cell>
          <cell r="I65">
            <v>207.47975</v>
          </cell>
          <cell r="J65">
            <v>19746.53</v>
          </cell>
          <cell r="K65">
            <v>17669</v>
          </cell>
          <cell r="L65">
            <v>835.19</v>
          </cell>
          <cell r="M65">
            <v>4202.24</v>
          </cell>
          <cell r="N65">
            <v>4407.5600000000004</v>
          </cell>
          <cell r="O65">
            <v>2964.34</v>
          </cell>
          <cell r="P65">
            <v>7705.36</v>
          </cell>
        </row>
        <row r="66">
          <cell r="B66">
            <v>39863</v>
          </cell>
          <cell r="C66">
            <v>39856</v>
          </cell>
          <cell r="D66">
            <v>39764</v>
          </cell>
          <cell r="E66">
            <v>39491</v>
          </cell>
          <cell r="F66">
            <v>330.68</v>
          </cell>
          <cell r="G66">
            <v>247.988</v>
          </cell>
          <cell r="H66">
            <v>1.2705</v>
          </cell>
          <cell r="I66">
            <v>201.56021999999999</v>
          </cell>
          <cell r="J66">
            <v>19137.62</v>
          </cell>
          <cell r="K66">
            <v>16501</v>
          </cell>
          <cell r="L66">
            <v>778.94</v>
          </cell>
          <cell r="M66">
            <v>4018.37</v>
          </cell>
          <cell r="N66">
            <v>4215.21</v>
          </cell>
          <cell r="O66">
            <v>2872.6</v>
          </cell>
          <cell r="P66">
            <v>7557.65</v>
          </cell>
        </row>
        <row r="67">
          <cell r="B67">
            <v>39871</v>
          </cell>
          <cell r="C67">
            <v>39863</v>
          </cell>
          <cell r="D67">
            <v>39771</v>
          </cell>
          <cell r="E67">
            <v>39498</v>
          </cell>
          <cell r="F67">
            <v>330.45</v>
          </cell>
          <cell r="G67">
            <v>244.09899999999999</v>
          </cell>
          <cell r="H67">
            <v>1.2644</v>
          </cell>
          <cell r="I67">
            <v>190.72287250869979</v>
          </cell>
          <cell r="J67">
            <v>18286.509999999998</v>
          </cell>
          <cell r="K67">
            <v>15282</v>
          </cell>
          <cell r="L67">
            <v>735.09</v>
          </cell>
          <cell r="M67">
            <v>3830.09</v>
          </cell>
          <cell r="N67">
            <v>3843.74</v>
          </cell>
          <cell r="O67">
            <v>2702.48</v>
          </cell>
          <cell r="P67">
            <v>7568.42</v>
          </cell>
        </row>
        <row r="68">
          <cell r="B68">
            <v>39877</v>
          </cell>
          <cell r="C68">
            <v>39871</v>
          </cell>
          <cell r="D68">
            <v>39780</v>
          </cell>
          <cell r="E68">
            <v>39507</v>
          </cell>
          <cell r="F68">
            <v>330.75</v>
          </cell>
          <cell r="G68">
            <v>243.61199999999999</v>
          </cell>
          <cell r="H68">
            <v>1.2555000000000001</v>
          </cell>
          <cell r="I68">
            <v>177.26329999999999</v>
          </cell>
          <cell r="J68">
            <v>16719.47</v>
          </cell>
          <cell r="K68">
            <v>13523</v>
          </cell>
          <cell r="L68">
            <v>682.55</v>
          </cell>
          <cell r="M68">
            <v>3529.86</v>
          </cell>
          <cell r="N68">
            <v>3695.49</v>
          </cell>
          <cell r="O68">
            <v>2569.63</v>
          </cell>
          <cell r="P68">
            <v>7433.49</v>
          </cell>
        </row>
        <row r="69">
          <cell r="B69">
            <v>39884</v>
          </cell>
          <cell r="C69">
            <v>39877</v>
          </cell>
          <cell r="D69">
            <v>39785</v>
          </cell>
          <cell r="E69">
            <v>39512</v>
          </cell>
          <cell r="F69">
            <v>331.38</v>
          </cell>
          <cell r="G69">
            <v>245.11199999999999</v>
          </cell>
          <cell r="H69">
            <v>1.2786</v>
          </cell>
          <cell r="I69">
            <v>183.02735999999999</v>
          </cell>
          <cell r="J69">
            <v>16727.02</v>
          </cell>
          <cell r="K69">
            <v>13921</v>
          </cell>
          <cell r="L69">
            <v>750.74</v>
          </cell>
          <cell r="M69">
            <v>3712.06</v>
          </cell>
          <cell r="N69">
            <v>3956.22</v>
          </cell>
          <cell r="O69">
            <v>2694.25</v>
          </cell>
          <cell r="P69">
            <v>7198.25</v>
          </cell>
        </row>
        <row r="70">
          <cell r="B70">
            <v>39891</v>
          </cell>
          <cell r="C70">
            <v>39884</v>
          </cell>
          <cell r="D70">
            <v>39792</v>
          </cell>
          <cell r="E70">
            <v>39519</v>
          </cell>
          <cell r="F70">
            <v>331.63</v>
          </cell>
          <cell r="G70">
            <v>257.62400000000002</v>
          </cell>
          <cell r="H70">
            <v>1.3129999999999999</v>
          </cell>
          <cell r="I70">
            <v>189.06733</v>
          </cell>
          <cell r="J70">
            <v>17487.95</v>
          </cell>
          <cell r="K70">
            <v>14749</v>
          </cell>
          <cell r="L70">
            <v>784.04</v>
          </cell>
          <cell r="M70">
            <v>3816.93</v>
          </cell>
          <cell r="N70">
            <v>4043.46</v>
          </cell>
          <cell r="O70">
            <v>2776.99</v>
          </cell>
          <cell r="P70">
            <v>7945.96</v>
          </cell>
        </row>
        <row r="71">
          <cell r="B71">
            <v>39898</v>
          </cell>
          <cell r="C71">
            <v>39891</v>
          </cell>
          <cell r="D71">
            <v>39799</v>
          </cell>
          <cell r="E71">
            <v>39526</v>
          </cell>
          <cell r="F71">
            <v>332.08</v>
          </cell>
          <cell r="G71">
            <v>251.881</v>
          </cell>
          <cell r="H71">
            <v>1.3493999999999999</v>
          </cell>
          <cell r="I71">
            <v>197.41878</v>
          </cell>
          <cell r="J71">
            <v>18661.88</v>
          </cell>
          <cell r="K71">
            <v>16483</v>
          </cell>
          <cell r="L71">
            <v>832.86</v>
          </cell>
          <cell r="M71">
            <v>3925.2</v>
          </cell>
          <cell r="N71">
            <v>4259.37</v>
          </cell>
          <cell r="O71">
            <v>2892.07</v>
          </cell>
          <cell r="P71">
            <v>8636.33</v>
          </cell>
        </row>
        <row r="72">
          <cell r="B72">
            <v>39903</v>
          </cell>
          <cell r="C72">
            <v>39898</v>
          </cell>
          <cell r="D72">
            <v>39812</v>
          </cell>
          <cell r="E72">
            <v>39538</v>
          </cell>
          <cell r="F72">
            <v>332.4</v>
          </cell>
          <cell r="G72">
            <v>250.31200000000001</v>
          </cell>
          <cell r="H72">
            <v>1.3192999999999999</v>
          </cell>
          <cell r="I72">
            <v>194.17035999999999</v>
          </cell>
          <cell r="J72">
            <v>19001.740000000002</v>
          </cell>
          <cell r="K72">
            <v>15875</v>
          </cell>
          <cell r="L72">
            <v>797.87</v>
          </cell>
          <cell r="M72">
            <v>3926.14</v>
          </cell>
          <cell r="N72">
            <v>4084.76</v>
          </cell>
          <cell r="O72">
            <v>2807.34</v>
          </cell>
          <cell r="P72">
            <v>8109.53</v>
          </cell>
        </row>
        <row r="73">
          <cell r="B73">
            <v>39911</v>
          </cell>
          <cell r="C73">
            <v>39903</v>
          </cell>
          <cell r="D73">
            <v>39820</v>
          </cell>
          <cell r="E73">
            <v>39547</v>
          </cell>
          <cell r="F73">
            <v>333.46</v>
          </cell>
          <cell r="G73">
            <v>247.851</v>
          </cell>
          <cell r="H73">
            <v>1.3230999999999999</v>
          </cell>
          <cell r="I73">
            <v>202.59259</v>
          </cell>
          <cell r="J73">
            <v>20452.88</v>
          </cell>
          <cell r="K73">
            <v>16939.330000000002</v>
          </cell>
          <cell r="L73">
            <v>848.76</v>
          </cell>
          <cell r="M73">
            <v>3925.52</v>
          </cell>
          <cell r="N73">
            <v>4357.92</v>
          </cell>
          <cell r="O73">
            <v>2921.06</v>
          </cell>
          <cell r="P73">
            <v>8595.01</v>
          </cell>
        </row>
        <row r="74">
          <cell r="B74">
            <v>39919</v>
          </cell>
          <cell r="C74">
            <v>39911</v>
          </cell>
          <cell r="D74">
            <v>39828</v>
          </cell>
          <cell r="E74">
            <v>39554</v>
          </cell>
          <cell r="F74">
            <v>334.74</v>
          </cell>
          <cell r="G74">
            <v>249.345</v>
          </cell>
          <cell r="H74">
            <v>1.3172999999999999</v>
          </cell>
          <cell r="I74">
            <v>213.53349</v>
          </cell>
          <cell r="J74">
            <v>21052.03</v>
          </cell>
          <cell r="K74">
            <v>18153.55</v>
          </cell>
          <cell r="L74">
            <v>865.3</v>
          </cell>
          <cell r="M74">
            <v>4052.98</v>
          </cell>
          <cell r="N74">
            <v>4609.46</v>
          </cell>
          <cell r="O74">
            <v>3038.18</v>
          </cell>
          <cell r="P74">
            <v>8755.26</v>
          </cell>
        </row>
        <row r="75">
          <cell r="B75">
            <v>39926</v>
          </cell>
          <cell r="C75">
            <v>39919</v>
          </cell>
          <cell r="D75">
            <v>39835</v>
          </cell>
          <cell r="E75">
            <v>39561</v>
          </cell>
          <cell r="F75">
            <v>334.71</v>
          </cell>
          <cell r="G75">
            <v>248.773</v>
          </cell>
          <cell r="H75">
            <v>1.2947</v>
          </cell>
          <cell r="I75">
            <v>211.11409</v>
          </cell>
          <cell r="J75">
            <v>21335.55</v>
          </cell>
          <cell r="K75">
            <v>18144.759999999998</v>
          </cell>
          <cell r="L75">
            <v>851.92</v>
          </cell>
          <cell r="M75">
            <v>4018.23</v>
          </cell>
          <cell r="N75">
            <v>4538.21</v>
          </cell>
          <cell r="O75">
            <v>3008.62</v>
          </cell>
          <cell r="P75">
            <v>8847.01</v>
          </cell>
        </row>
        <row r="76">
          <cell r="B76">
            <v>39933</v>
          </cell>
          <cell r="C76">
            <v>39926</v>
          </cell>
          <cell r="D76">
            <v>39843</v>
          </cell>
          <cell r="E76">
            <v>39568</v>
          </cell>
          <cell r="F76">
            <v>334.37</v>
          </cell>
          <cell r="G76">
            <v>250.476</v>
          </cell>
          <cell r="H76">
            <v>1.3266</v>
          </cell>
          <cell r="I76">
            <v>221.13048000000001</v>
          </cell>
          <cell r="J76">
            <v>21867.45</v>
          </cell>
          <cell r="K76">
            <v>19176.54</v>
          </cell>
          <cell r="L76">
            <v>877.52</v>
          </cell>
          <cell r="M76">
            <v>4243.22</v>
          </cell>
          <cell r="N76">
            <v>4769.45</v>
          </cell>
          <cell r="O76">
            <v>3159.85</v>
          </cell>
          <cell r="P76">
            <v>8977.3700000000008</v>
          </cell>
        </row>
        <row r="77">
          <cell r="B77">
            <v>39940</v>
          </cell>
          <cell r="C77">
            <v>39933</v>
          </cell>
          <cell r="D77">
            <v>39849</v>
          </cell>
          <cell r="E77">
            <v>39575</v>
          </cell>
          <cell r="F77">
            <v>335</v>
          </cell>
          <cell r="G77">
            <v>252.3</v>
          </cell>
          <cell r="H77">
            <v>1.3363</v>
          </cell>
          <cell r="I77">
            <v>228.53401182369225</v>
          </cell>
          <cell r="J77">
            <v>22556.43</v>
          </cell>
          <cell r="K77">
            <v>19814.21</v>
          </cell>
          <cell r="L77">
            <v>907.39</v>
          </cell>
          <cell r="M77">
            <v>4398.68</v>
          </cell>
          <cell r="N77">
            <v>4804.1000000000004</v>
          </cell>
          <cell r="O77">
            <v>3251.52</v>
          </cell>
          <cell r="P77">
            <v>9385.7000000000007</v>
          </cell>
        </row>
        <row r="78">
          <cell r="B78">
            <v>39947</v>
          </cell>
          <cell r="C78">
            <v>39940</v>
          </cell>
          <cell r="D78">
            <v>39856</v>
          </cell>
          <cell r="E78">
            <v>39582</v>
          </cell>
          <cell r="F78">
            <v>334.91</v>
          </cell>
          <cell r="G78">
            <v>255.23400000000001</v>
          </cell>
          <cell r="H78">
            <v>1.3563000000000001</v>
          </cell>
          <cell r="I78">
            <v>222.57055</v>
          </cell>
          <cell r="J78">
            <v>21815.919999999998</v>
          </cell>
          <cell r="K78">
            <v>19271.419999999998</v>
          </cell>
          <cell r="L78">
            <v>894.49</v>
          </cell>
          <cell r="M78">
            <v>4362.58</v>
          </cell>
          <cell r="N78">
            <v>4738.47</v>
          </cell>
          <cell r="O78">
            <v>3156.29</v>
          </cell>
          <cell r="P78">
            <v>9093.73</v>
          </cell>
        </row>
        <row r="79">
          <cell r="B79">
            <v>39954</v>
          </cell>
          <cell r="C79">
            <v>39947</v>
          </cell>
          <cell r="D79">
            <v>39863</v>
          </cell>
          <cell r="E79">
            <v>39589</v>
          </cell>
          <cell r="F79">
            <v>334.84</v>
          </cell>
          <cell r="G79">
            <v>257.20299999999997</v>
          </cell>
          <cell r="H79">
            <v>1.369</v>
          </cell>
          <cell r="I79">
            <v>228.83366000000001</v>
          </cell>
          <cell r="J79">
            <v>22829.81</v>
          </cell>
          <cell r="K79">
            <v>19882.57</v>
          </cell>
          <cell r="L79">
            <v>888.33</v>
          </cell>
          <cell r="M79">
            <v>4345.47</v>
          </cell>
          <cell r="N79">
            <v>4900.67</v>
          </cell>
          <cell r="O79">
            <v>3217.41</v>
          </cell>
          <cell r="P79">
            <v>9264.15</v>
          </cell>
        </row>
        <row r="80">
          <cell r="B80">
            <v>39962</v>
          </cell>
          <cell r="C80">
            <v>39954</v>
          </cell>
          <cell r="D80">
            <v>39871</v>
          </cell>
          <cell r="E80">
            <v>39598</v>
          </cell>
          <cell r="F80">
            <v>334.88</v>
          </cell>
          <cell r="G80">
            <v>258.46600000000001</v>
          </cell>
          <cell r="H80">
            <v>1.4097999999999999</v>
          </cell>
          <cell r="I80">
            <v>230.75613562207405</v>
          </cell>
          <cell r="J80">
            <v>22721.45</v>
          </cell>
          <cell r="K80">
            <v>19883.63</v>
          </cell>
          <cell r="L80">
            <v>919.14</v>
          </cell>
          <cell r="M80">
            <v>4417.9399999999996</v>
          </cell>
          <cell r="N80">
            <v>4940.82</v>
          </cell>
          <cell r="O80">
            <v>3277.65</v>
          </cell>
          <cell r="P80">
            <v>9522.5</v>
          </cell>
        </row>
        <row r="81">
          <cell r="B81">
            <v>39968</v>
          </cell>
          <cell r="C81">
            <v>39962</v>
          </cell>
          <cell r="D81">
            <v>39877</v>
          </cell>
          <cell r="E81">
            <v>39603</v>
          </cell>
          <cell r="F81">
            <v>334.7</v>
          </cell>
          <cell r="G81">
            <v>256.99900000000002</v>
          </cell>
          <cell r="H81">
            <v>1.4095</v>
          </cell>
          <cell r="I81">
            <v>232.8698119900674</v>
          </cell>
          <cell r="J81">
            <v>22848.51</v>
          </cell>
          <cell r="K81">
            <v>20129.43</v>
          </cell>
          <cell r="L81">
            <v>942.46</v>
          </cell>
          <cell r="M81">
            <v>4386.9399999999996</v>
          </cell>
          <cell r="N81">
            <v>5064.8</v>
          </cell>
          <cell r="O81">
            <v>3312.03</v>
          </cell>
          <cell r="P81">
            <v>9668.9599999999991</v>
          </cell>
        </row>
        <row r="82">
          <cell r="B82">
            <v>39975</v>
          </cell>
          <cell r="C82">
            <v>39968</v>
          </cell>
          <cell r="D82">
            <v>39884</v>
          </cell>
          <cell r="E82">
            <v>39610</v>
          </cell>
          <cell r="F82">
            <v>334.85</v>
          </cell>
          <cell r="G82">
            <v>254.11799999999999</v>
          </cell>
          <cell r="H82">
            <v>1.4101999999999999</v>
          </cell>
          <cell r="I82">
            <v>237.26680999999999</v>
          </cell>
          <cell r="J82">
            <v>23098.23</v>
          </cell>
          <cell r="K82">
            <v>20585.060000000001</v>
          </cell>
          <cell r="L82">
            <v>944.89</v>
          </cell>
          <cell r="M82">
            <v>4461.87</v>
          </cell>
          <cell r="N82">
            <v>5107.26</v>
          </cell>
          <cell r="O82">
            <v>3334.94</v>
          </cell>
          <cell r="P82">
            <v>9981.33</v>
          </cell>
        </row>
        <row r="83">
          <cell r="B83">
            <v>39982</v>
          </cell>
          <cell r="C83">
            <v>39975</v>
          </cell>
          <cell r="D83">
            <v>39891</v>
          </cell>
          <cell r="E83">
            <v>39617</v>
          </cell>
          <cell r="F83">
            <v>335.06</v>
          </cell>
          <cell r="G83">
            <v>255.61</v>
          </cell>
          <cell r="H83">
            <v>1.3919999999999999</v>
          </cell>
          <cell r="I83">
            <v>227.34195402298852</v>
          </cell>
          <cell r="J83">
            <v>21827.439999999999</v>
          </cell>
          <cell r="K83">
            <v>19233.79</v>
          </cell>
          <cell r="L83">
            <v>918.37</v>
          </cell>
          <cell r="M83">
            <v>4280.8599999999997</v>
          </cell>
          <cell r="N83">
            <v>4837.4799999999996</v>
          </cell>
          <cell r="O83">
            <v>3194.06</v>
          </cell>
          <cell r="P83">
            <v>9703.7199999999993</v>
          </cell>
        </row>
        <row r="84">
          <cell r="B84">
            <v>39989</v>
          </cell>
          <cell r="C84">
            <v>39982</v>
          </cell>
          <cell r="D84">
            <v>39898</v>
          </cell>
          <cell r="E84">
            <v>39624</v>
          </cell>
          <cell r="F84">
            <v>335.25</v>
          </cell>
          <cell r="G84">
            <v>257.137</v>
          </cell>
          <cell r="H84">
            <v>1.4029</v>
          </cell>
          <cell r="I84">
            <v>225.50069999999999</v>
          </cell>
          <cell r="J84">
            <v>21759.52</v>
          </cell>
          <cell r="K84">
            <v>18940.63</v>
          </cell>
          <cell r="L84">
            <v>920.26</v>
          </cell>
          <cell r="M84">
            <v>4252.57</v>
          </cell>
          <cell r="N84">
            <v>4800.5600000000004</v>
          </cell>
          <cell r="O84">
            <v>3163.1</v>
          </cell>
          <cell r="P84">
            <v>9796.08</v>
          </cell>
        </row>
        <row r="85">
          <cell r="B85">
            <v>39994</v>
          </cell>
          <cell r="C85">
            <v>39989</v>
          </cell>
          <cell r="D85">
            <v>39903</v>
          </cell>
          <cell r="E85">
            <v>39629</v>
          </cell>
          <cell r="F85">
            <v>335.58</v>
          </cell>
          <cell r="G85">
            <v>259.35000000000002</v>
          </cell>
          <cell r="H85">
            <v>1.4134</v>
          </cell>
          <cell r="I85">
            <v>225.08843922456487</v>
          </cell>
          <cell r="J85">
            <v>22188.54</v>
          </cell>
          <cell r="K85">
            <v>19063.12</v>
          </cell>
          <cell r="L85">
            <v>919.32</v>
          </cell>
          <cell r="M85">
            <v>4249.21</v>
          </cell>
          <cell r="N85">
            <v>4808.6400000000003</v>
          </cell>
          <cell r="O85">
            <v>3140.44</v>
          </cell>
          <cell r="P85">
            <v>9958.44</v>
          </cell>
        </row>
        <row r="86">
          <cell r="B86">
            <v>40003</v>
          </cell>
          <cell r="C86">
            <v>39994</v>
          </cell>
          <cell r="D86">
            <v>39911</v>
          </cell>
          <cell r="E86">
            <v>39638</v>
          </cell>
          <cell r="F86">
            <v>336.15</v>
          </cell>
          <cell r="G86">
            <v>262.27699999999999</v>
          </cell>
          <cell r="H86">
            <v>1.399</v>
          </cell>
          <cell r="I86">
            <v>219.29235167977129</v>
          </cell>
          <cell r="J86">
            <v>21221.09</v>
          </cell>
          <cell r="K86">
            <v>18158.560000000001</v>
          </cell>
          <cell r="L86">
            <v>882.68</v>
          </cell>
          <cell r="M86">
            <v>4158.66</v>
          </cell>
          <cell r="N86">
            <v>4630.07</v>
          </cell>
          <cell r="O86">
            <v>3025.94</v>
          </cell>
          <cell r="P86">
            <v>9291.06</v>
          </cell>
        </row>
        <row r="87">
          <cell r="B87">
            <v>40010</v>
          </cell>
          <cell r="C87">
            <v>40003</v>
          </cell>
          <cell r="D87">
            <v>39919</v>
          </cell>
          <cell r="E87">
            <v>39645</v>
          </cell>
          <cell r="F87">
            <v>336.73</v>
          </cell>
          <cell r="G87">
            <v>262.363</v>
          </cell>
          <cell r="H87">
            <v>1.4089</v>
          </cell>
          <cell r="I87">
            <v>231.25863000000001</v>
          </cell>
          <cell r="J87">
            <v>22039.919999999998</v>
          </cell>
          <cell r="K87">
            <v>19232.95</v>
          </cell>
          <cell r="L87">
            <v>940.74</v>
          </cell>
          <cell r="M87">
            <v>4361.84</v>
          </cell>
          <cell r="N87">
            <v>4957.1899999999996</v>
          </cell>
          <cell r="O87">
            <v>3199.68</v>
          </cell>
          <cell r="P87">
            <v>9344.16</v>
          </cell>
        </row>
        <row r="88">
          <cell r="B88">
            <v>40017</v>
          </cell>
          <cell r="C88">
            <v>40010</v>
          </cell>
          <cell r="D88">
            <v>39926</v>
          </cell>
          <cell r="E88">
            <v>39652</v>
          </cell>
          <cell r="F88">
            <v>336.93</v>
          </cell>
          <cell r="G88">
            <v>261.72399999999999</v>
          </cell>
          <cell r="H88">
            <v>1.4191</v>
          </cell>
          <cell r="I88">
            <v>242.35533000000001</v>
          </cell>
          <cell r="J88">
            <v>22960.43</v>
          </cell>
          <cell r="K88">
            <v>20242.310000000001</v>
          </cell>
          <cell r="L88">
            <v>976.29</v>
          </cell>
          <cell r="M88">
            <v>4559.8</v>
          </cell>
          <cell r="N88">
            <v>5247.28</v>
          </cell>
          <cell r="O88">
            <v>3373.72</v>
          </cell>
          <cell r="P88">
            <v>9792.94</v>
          </cell>
        </row>
        <row r="89">
          <cell r="B89">
            <v>40025</v>
          </cell>
          <cell r="C89">
            <v>40017</v>
          </cell>
          <cell r="D89">
            <v>39933</v>
          </cell>
          <cell r="E89">
            <v>39660</v>
          </cell>
          <cell r="F89">
            <v>336.93</v>
          </cell>
          <cell r="G89">
            <v>263.18700000000001</v>
          </cell>
          <cell r="H89">
            <v>1.4137999999999999</v>
          </cell>
          <cell r="I89">
            <v>248.80463997736598</v>
          </cell>
          <cell r="J89">
            <v>23260.28</v>
          </cell>
          <cell r="K89">
            <v>20575.52</v>
          </cell>
          <cell r="L89">
            <v>987.48</v>
          </cell>
          <cell r="M89">
            <v>4608.3599999999997</v>
          </cell>
          <cell r="N89">
            <v>5332.14</v>
          </cell>
          <cell r="O89">
            <v>3426.27</v>
          </cell>
          <cell r="P89">
            <v>10356.83</v>
          </cell>
        </row>
        <row r="90">
          <cell r="B90">
            <v>40031</v>
          </cell>
          <cell r="C90">
            <v>40025</v>
          </cell>
          <cell r="D90">
            <v>39940</v>
          </cell>
          <cell r="E90">
            <v>39666</v>
          </cell>
          <cell r="F90">
            <v>337.75</v>
          </cell>
          <cell r="G90">
            <v>263.59699999999998</v>
          </cell>
          <cell r="H90">
            <v>1.4370000000000001</v>
          </cell>
          <cell r="I90">
            <v>251.03688239387614</v>
          </cell>
          <cell r="J90">
            <v>23666.26</v>
          </cell>
          <cell r="K90">
            <v>21128.66</v>
          </cell>
          <cell r="L90">
            <v>997.08</v>
          </cell>
          <cell r="M90">
            <v>4690.53</v>
          </cell>
          <cell r="N90">
            <v>5369.98</v>
          </cell>
          <cell r="O90">
            <v>3477.83</v>
          </cell>
          <cell r="P90">
            <v>10388.09</v>
          </cell>
        </row>
        <row r="91">
          <cell r="B91">
            <v>40038</v>
          </cell>
          <cell r="C91">
            <v>40031</v>
          </cell>
          <cell r="D91">
            <v>39947</v>
          </cell>
          <cell r="E91">
            <v>39673</v>
          </cell>
          <cell r="F91">
            <v>338.11</v>
          </cell>
          <cell r="G91">
            <v>263.51600000000002</v>
          </cell>
          <cell r="H91">
            <v>1.417</v>
          </cell>
          <cell r="I91">
            <v>253.98257000000001</v>
          </cell>
          <cell r="J91">
            <v>24062.33</v>
          </cell>
          <cell r="K91">
            <v>21827.19</v>
          </cell>
          <cell r="L91">
            <v>1012.73</v>
          </cell>
          <cell r="M91">
            <v>4755.46</v>
          </cell>
          <cell r="N91">
            <v>5401.11</v>
          </cell>
          <cell r="O91">
            <v>3524.39</v>
          </cell>
          <cell r="P91">
            <v>10517.19</v>
          </cell>
        </row>
        <row r="92">
          <cell r="B92">
            <v>40045</v>
          </cell>
          <cell r="C92">
            <v>40038</v>
          </cell>
          <cell r="D92">
            <v>39954</v>
          </cell>
          <cell r="E92">
            <v>39680</v>
          </cell>
          <cell r="F92">
            <v>338.14</v>
          </cell>
          <cell r="G92">
            <v>265.69400000000002</v>
          </cell>
          <cell r="H92">
            <v>1.4243000000000001</v>
          </cell>
          <cell r="I92">
            <v>253.03657937232322</v>
          </cell>
          <cell r="J92">
            <v>23995.919999999998</v>
          </cell>
          <cell r="K92">
            <v>21394.400000000001</v>
          </cell>
          <cell r="L92">
            <v>1007.37</v>
          </cell>
          <cell r="M92">
            <v>4756.58</v>
          </cell>
          <cell r="N92">
            <v>5311.06</v>
          </cell>
          <cell r="O92">
            <v>3505.32</v>
          </cell>
          <cell r="P92">
            <v>10383.41</v>
          </cell>
        </row>
        <row r="93">
          <cell r="B93">
            <v>40056</v>
          </cell>
          <cell r="C93">
            <v>40045</v>
          </cell>
          <cell r="D93">
            <v>39962</v>
          </cell>
          <cell r="E93">
            <v>39687</v>
          </cell>
          <cell r="F93">
            <v>338.07</v>
          </cell>
          <cell r="G93">
            <v>268.23700000000002</v>
          </cell>
          <cell r="H93">
            <v>1.4272</v>
          </cell>
          <cell r="I93">
            <v>262.08660313901345</v>
          </cell>
          <cell r="J93">
            <v>24497.91</v>
          </cell>
          <cell r="K93">
            <v>22420.43</v>
          </cell>
          <cell r="L93">
            <v>1020.62</v>
          </cell>
          <cell r="M93">
            <v>4908.8999999999996</v>
          </cell>
          <cell r="N93">
            <v>5464.61</v>
          </cell>
          <cell r="O93">
            <v>3653.54</v>
          </cell>
          <cell r="P93">
            <v>10492.53</v>
          </cell>
        </row>
        <row r="94">
          <cell r="B94">
            <v>40066</v>
          </cell>
          <cell r="C94">
            <v>40056</v>
          </cell>
          <cell r="D94">
            <v>39968</v>
          </cell>
          <cell r="E94">
            <v>39689</v>
          </cell>
          <cell r="F94">
            <v>338.12</v>
          </cell>
          <cell r="G94">
            <v>271.13</v>
          </cell>
          <cell r="H94">
            <v>1.4544999999999999</v>
          </cell>
          <cell r="I94">
            <v>265.24081999999999</v>
          </cell>
          <cell r="J94">
            <v>24832.73</v>
          </cell>
          <cell r="K94">
            <v>22849.87</v>
          </cell>
          <cell r="L94">
            <v>1046.92</v>
          </cell>
          <cell r="M94">
            <v>4987.68</v>
          </cell>
          <cell r="N94">
            <v>5594.77</v>
          </cell>
          <cell r="O94">
            <v>3705.87</v>
          </cell>
          <cell r="P94">
            <v>10513.67</v>
          </cell>
        </row>
        <row r="95">
          <cell r="B95">
            <v>40073</v>
          </cell>
          <cell r="C95">
            <v>40066</v>
          </cell>
          <cell r="D95">
            <v>39975</v>
          </cell>
          <cell r="E95">
            <v>39694</v>
          </cell>
          <cell r="F95">
            <v>338.41</v>
          </cell>
          <cell r="G95">
            <v>271.95600000000002</v>
          </cell>
          <cell r="H95">
            <v>1.4704999999999999</v>
          </cell>
          <cell r="I95">
            <v>270.49982998979937</v>
          </cell>
          <cell r="J95">
            <v>25565.72</v>
          </cell>
          <cell r="K95">
            <v>23483.97</v>
          </cell>
          <cell r="L95">
            <v>1068.3</v>
          </cell>
          <cell r="M95">
            <v>5172.8900000000003</v>
          </cell>
          <cell r="N95">
            <v>5703.83</v>
          </cell>
          <cell r="O95">
            <v>3827.84</v>
          </cell>
          <cell r="P95">
            <v>10370.540000000001</v>
          </cell>
        </row>
        <row r="96">
          <cell r="B96">
            <v>40080</v>
          </cell>
          <cell r="C96">
            <v>40073</v>
          </cell>
          <cell r="D96">
            <v>39982</v>
          </cell>
          <cell r="E96">
            <v>39701</v>
          </cell>
          <cell r="F96">
            <v>338.38</v>
          </cell>
          <cell r="G96">
            <v>272.70299999999997</v>
          </cell>
          <cell r="H96">
            <v>1.4782999999999999</v>
          </cell>
          <cell r="I96">
            <v>264.90786000000003</v>
          </cell>
          <cell r="J96">
            <v>25325.8</v>
          </cell>
          <cell r="K96">
            <v>22953.4</v>
          </cell>
          <cell r="L96">
            <v>1050.78</v>
          </cell>
          <cell r="M96">
            <v>5079.2700000000004</v>
          </cell>
          <cell r="N96">
            <v>5605.21</v>
          </cell>
          <cell r="O96">
            <v>3758.36</v>
          </cell>
          <cell r="P96">
            <v>10544.22</v>
          </cell>
        </row>
        <row r="97">
          <cell r="B97">
            <v>40086</v>
          </cell>
          <cell r="C97">
            <v>40080</v>
          </cell>
          <cell r="D97">
            <v>39989</v>
          </cell>
          <cell r="E97">
            <v>39708</v>
          </cell>
          <cell r="F97">
            <v>338.52</v>
          </cell>
          <cell r="G97">
            <v>274.27499999999998</v>
          </cell>
          <cell r="H97">
            <v>1.4549000000000001</v>
          </cell>
          <cell r="I97">
            <v>267.57884000000001</v>
          </cell>
          <cell r="J97">
            <v>25569.93</v>
          </cell>
          <cell r="K97">
            <v>23472.73</v>
          </cell>
          <cell r="L97">
            <v>1057.08</v>
          </cell>
          <cell r="M97">
            <v>5133.8999999999996</v>
          </cell>
          <cell r="N97">
            <v>5675.16</v>
          </cell>
          <cell r="O97">
            <v>3795.41</v>
          </cell>
          <cell r="P97">
            <v>10133.23</v>
          </cell>
        </row>
        <row r="98">
          <cell r="B98">
            <v>40094</v>
          </cell>
          <cell r="C98">
            <v>40086</v>
          </cell>
          <cell r="D98">
            <v>39994</v>
          </cell>
          <cell r="E98">
            <v>39715</v>
          </cell>
          <cell r="F98">
            <v>338.67</v>
          </cell>
          <cell r="G98">
            <v>277.60199999999998</v>
          </cell>
          <cell r="H98">
            <v>1.4762999999999999</v>
          </cell>
          <cell r="I98">
            <v>268.54975276027909</v>
          </cell>
          <cell r="J98">
            <v>25916.720000000001</v>
          </cell>
          <cell r="K98">
            <v>23663.68</v>
          </cell>
          <cell r="L98">
            <v>1065.48</v>
          </cell>
          <cell r="M98">
            <v>5154.6400000000003</v>
          </cell>
          <cell r="N98">
            <v>5716.54</v>
          </cell>
          <cell r="O98">
            <v>3806.81</v>
          </cell>
          <cell r="P98">
            <v>9832.4699999999993</v>
          </cell>
        </row>
        <row r="99">
          <cell r="B99">
            <v>40101</v>
          </cell>
          <cell r="C99">
            <v>40094</v>
          </cell>
          <cell r="D99">
            <v>40003</v>
          </cell>
          <cell r="E99">
            <v>39721</v>
          </cell>
          <cell r="F99">
            <v>338.8</v>
          </cell>
          <cell r="G99">
            <v>275.22300000000001</v>
          </cell>
          <cell r="H99">
            <v>1.4863999999999999</v>
          </cell>
          <cell r="I99">
            <v>274.34741657696452</v>
          </cell>
          <cell r="J99">
            <v>26381.23</v>
          </cell>
          <cell r="K99">
            <v>24339.759999999998</v>
          </cell>
          <cell r="L99">
            <v>1096.56</v>
          </cell>
          <cell r="M99">
            <v>5222.95</v>
          </cell>
          <cell r="N99">
            <v>5830.77</v>
          </cell>
          <cell r="O99">
            <v>3883.83</v>
          </cell>
          <cell r="P99">
            <v>10238.65</v>
          </cell>
        </row>
        <row r="100">
          <cell r="B100">
            <v>40108</v>
          </cell>
          <cell r="C100">
            <v>40101</v>
          </cell>
          <cell r="D100">
            <v>40010</v>
          </cell>
          <cell r="E100">
            <v>39729</v>
          </cell>
          <cell r="F100">
            <v>339</v>
          </cell>
          <cell r="G100">
            <v>274.77800000000002</v>
          </cell>
          <cell r="H100">
            <v>1.5</v>
          </cell>
          <cell r="I100">
            <v>272.09333333333331</v>
          </cell>
          <cell r="J100">
            <v>25721.59</v>
          </cell>
          <cell r="K100">
            <v>23813.41</v>
          </cell>
          <cell r="L100">
            <v>1092.9100000000001</v>
          </cell>
          <cell r="M100">
            <v>5207.3599999999997</v>
          </cell>
          <cell r="N100">
            <v>5762.93</v>
          </cell>
          <cell r="O100">
            <v>3820.85</v>
          </cell>
          <cell r="P100">
            <v>10267.17</v>
          </cell>
        </row>
        <row r="101">
          <cell r="B101">
            <v>40115</v>
          </cell>
          <cell r="C101">
            <v>40108</v>
          </cell>
          <cell r="D101">
            <v>40017</v>
          </cell>
          <cell r="E101">
            <v>39736</v>
          </cell>
          <cell r="F101">
            <v>339.12</v>
          </cell>
          <cell r="G101">
            <v>273.36</v>
          </cell>
          <cell r="H101">
            <v>1.4788000000000001</v>
          </cell>
          <cell r="I101">
            <v>267.50067622396534</v>
          </cell>
          <cell r="J101">
            <v>24912.82</v>
          </cell>
          <cell r="K101">
            <v>22772.560000000001</v>
          </cell>
          <cell r="L101">
            <v>1066.1099999999999</v>
          </cell>
          <cell r="M101">
            <v>5137.72</v>
          </cell>
          <cell r="N101">
            <v>5587.45</v>
          </cell>
          <cell r="O101">
            <v>3714.02</v>
          </cell>
          <cell r="P101">
            <v>9891.1</v>
          </cell>
        </row>
        <row r="102">
          <cell r="B102">
            <v>40116</v>
          </cell>
          <cell r="C102">
            <v>40115</v>
          </cell>
          <cell r="D102">
            <v>40025</v>
          </cell>
          <cell r="E102">
            <v>39743</v>
          </cell>
          <cell r="F102">
            <v>339.17</v>
          </cell>
          <cell r="G102">
            <v>274.49599999999998</v>
          </cell>
          <cell r="H102">
            <v>1.48</v>
          </cell>
          <cell r="I102">
            <v>260.68243243243245</v>
          </cell>
          <cell r="J102">
            <v>24407.759999999998</v>
          </cell>
          <cell r="K102">
            <v>22060.33</v>
          </cell>
          <cell r="L102">
            <v>1036.19</v>
          </cell>
          <cell r="M102">
            <v>5044.55</v>
          </cell>
          <cell r="N102">
            <v>5414.96</v>
          </cell>
          <cell r="O102">
            <v>3607.69</v>
          </cell>
          <cell r="P102">
            <v>10034.74</v>
          </cell>
        </row>
        <row r="103">
          <cell r="B103">
            <v>40122</v>
          </cell>
          <cell r="C103">
            <v>40116</v>
          </cell>
          <cell r="D103">
            <v>40031</v>
          </cell>
          <cell r="E103">
            <v>39752</v>
          </cell>
          <cell r="F103">
            <v>339.49</v>
          </cell>
          <cell r="G103">
            <v>274.34399999999999</v>
          </cell>
          <cell r="H103">
            <v>1.4866999999999999</v>
          </cell>
          <cell r="I103">
            <v>265.8639940808502</v>
          </cell>
          <cell r="J103">
            <v>24726.52</v>
          </cell>
          <cell r="K103">
            <v>22582.240000000002</v>
          </cell>
          <cell r="L103">
            <v>1066.6300000000001</v>
          </cell>
          <cell r="M103">
            <v>5125.6400000000003</v>
          </cell>
          <cell r="N103">
            <v>5480.92</v>
          </cell>
          <cell r="O103">
            <v>3708.73</v>
          </cell>
          <cell r="P103">
            <v>9717.44</v>
          </cell>
        </row>
        <row r="104">
          <cell r="B104">
            <v>40129</v>
          </cell>
          <cell r="C104">
            <v>40122</v>
          </cell>
          <cell r="D104">
            <v>40038</v>
          </cell>
          <cell r="E104">
            <v>39757</v>
          </cell>
          <cell r="F104">
            <v>339.88</v>
          </cell>
          <cell r="G104">
            <v>275.76499999999999</v>
          </cell>
          <cell r="H104">
            <v>1.4922</v>
          </cell>
          <cell r="I104">
            <v>273.04650851092345</v>
          </cell>
          <cell r="J104">
            <v>25097.34</v>
          </cell>
          <cell r="K104">
            <v>23209.47</v>
          </cell>
          <cell r="L104">
            <v>1087.24</v>
          </cell>
          <cell r="M104">
            <v>5276.5</v>
          </cell>
          <cell r="N104">
            <v>5663.96</v>
          </cell>
          <cell r="O104">
            <v>3808.07</v>
          </cell>
          <cell r="P104">
            <v>9804.49</v>
          </cell>
        </row>
        <row r="105">
          <cell r="B105">
            <v>40136</v>
          </cell>
          <cell r="C105">
            <v>40129</v>
          </cell>
          <cell r="D105">
            <v>40045</v>
          </cell>
          <cell r="E105">
            <v>39764</v>
          </cell>
          <cell r="F105">
            <v>339.53</v>
          </cell>
          <cell r="G105">
            <v>278.44299999999998</v>
          </cell>
          <cell r="H105">
            <v>1.4957</v>
          </cell>
          <cell r="I105">
            <v>275.74379889015177</v>
          </cell>
          <cell r="J105">
            <v>24799.51</v>
          </cell>
          <cell r="K105">
            <v>22823.22</v>
          </cell>
          <cell r="L105">
            <v>1094.9000000000001</v>
          </cell>
          <cell r="M105">
            <v>5267.7</v>
          </cell>
          <cell r="N105">
            <v>5702.18</v>
          </cell>
          <cell r="O105">
            <v>3760.22</v>
          </cell>
          <cell r="P105">
            <v>9549.4699999999993</v>
          </cell>
        </row>
        <row r="106">
          <cell r="B106">
            <v>40143</v>
          </cell>
          <cell r="C106">
            <v>40136</v>
          </cell>
          <cell r="D106">
            <v>40056</v>
          </cell>
          <cell r="E106">
            <v>39771</v>
          </cell>
          <cell r="F106">
            <v>339.21</v>
          </cell>
          <cell r="G106">
            <v>281.97500000000002</v>
          </cell>
          <cell r="H106">
            <v>1.5083</v>
          </cell>
          <cell r="I106">
            <v>273.12868792680501</v>
          </cell>
          <cell r="J106">
            <v>23927.75</v>
          </cell>
          <cell r="K106">
            <v>21922.45</v>
          </cell>
          <cell r="L106">
            <v>1110.6300000000001</v>
          </cell>
          <cell r="M106">
            <v>5194.13</v>
          </cell>
          <cell r="N106">
            <v>5614.17</v>
          </cell>
          <cell r="O106">
            <v>3679.23</v>
          </cell>
          <cell r="P106">
            <v>9383.24</v>
          </cell>
        </row>
        <row r="107">
          <cell r="B107">
            <v>40147</v>
          </cell>
          <cell r="C107">
            <v>40143</v>
          </cell>
          <cell r="D107">
            <v>40066</v>
          </cell>
          <cell r="E107">
            <v>39780</v>
          </cell>
          <cell r="F107">
            <v>339.03</v>
          </cell>
          <cell r="G107">
            <v>283.14999999999998</v>
          </cell>
          <cell r="H107">
            <v>1.4918</v>
          </cell>
          <cell r="I107">
            <v>268.67542566027618</v>
          </cell>
          <cell r="J107">
            <v>24048.35</v>
          </cell>
          <cell r="K107">
            <v>21928.16</v>
          </cell>
          <cell r="L107">
            <v>1095.6300000000001</v>
          </cell>
          <cell r="M107">
            <v>5190.68</v>
          </cell>
          <cell r="N107">
            <v>5625.95</v>
          </cell>
          <cell r="O107">
            <v>3680.15</v>
          </cell>
          <cell r="P107">
            <v>9345.5499999999993</v>
          </cell>
        </row>
        <row r="108">
          <cell r="B108">
            <v>40150</v>
          </cell>
          <cell r="C108">
            <v>40147</v>
          </cell>
          <cell r="D108">
            <v>40073</v>
          </cell>
          <cell r="E108">
            <v>39785</v>
          </cell>
          <cell r="F108">
            <v>339.7</v>
          </cell>
          <cell r="G108">
            <v>281.44900000000001</v>
          </cell>
          <cell r="H108">
            <v>1.5089999999999999</v>
          </cell>
          <cell r="I108">
            <v>271.98807157057655</v>
          </cell>
          <cell r="J108">
            <v>24560.26</v>
          </cell>
          <cell r="K108">
            <v>22615.94</v>
          </cell>
          <cell r="L108">
            <v>1099.92</v>
          </cell>
          <cell r="M108">
            <v>5313</v>
          </cell>
          <cell r="N108">
            <v>5770.35</v>
          </cell>
          <cell r="O108">
            <v>3799.11</v>
          </cell>
          <cell r="P108">
            <v>9977.67</v>
          </cell>
        </row>
        <row r="109">
          <cell r="B109">
            <v>40157</v>
          </cell>
          <cell r="C109">
            <v>40150</v>
          </cell>
          <cell r="D109">
            <v>40080</v>
          </cell>
          <cell r="E109">
            <v>39792</v>
          </cell>
          <cell r="F109">
            <v>339.23</v>
          </cell>
          <cell r="G109">
            <v>277.50400000000002</v>
          </cell>
          <cell r="H109">
            <v>1.4767999999999999</v>
          </cell>
          <cell r="I109">
            <v>265.96018418201515</v>
          </cell>
          <cell r="J109">
            <v>24246.87</v>
          </cell>
          <cell r="K109">
            <v>22385.67</v>
          </cell>
          <cell r="L109">
            <v>1102.3499999999999</v>
          </cell>
          <cell r="M109">
            <v>5244.37</v>
          </cell>
          <cell r="N109">
            <v>5709.02</v>
          </cell>
          <cell r="O109">
            <v>3798.38</v>
          </cell>
          <cell r="P109">
            <v>9862.82</v>
          </cell>
        </row>
        <row r="110">
          <cell r="B110">
            <v>40164</v>
          </cell>
          <cell r="C110">
            <v>40157</v>
          </cell>
          <cell r="D110">
            <v>40086</v>
          </cell>
          <cell r="E110">
            <v>39799</v>
          </cell>
          <cell r="F110">
            <v>339.73</v>
          </cell>
          <cell r="G110">
            <v>273.60899999999998</v>
          </cell>
          <cell r="H110">
            <v>1.456</v>
          </cell>
          <cell r="I110">
            <v>276.5315934065934</v>
          </cell>
          <cell r="J110">
            <v>24367.34</v>
          </cell>
          <cell r="K110">
            <v>22677.74</v>
          </cell>
          <cell r="L110">
            <v>1096.08</v>
          </cell>
          <cell r="M110">
            <v>5217.6099999999997</v>
          </cell>
          <cell r="N110">
            <v>5844.44</v>
          </cell>
          <cell r="O110">
            <v>3830.82</v>
          </cell>
          <cell r="P110">
            <v>10163.799999999999</v>
          </cell>
        </row>
        <row r="111">
          <cell r="B111">
            <v>40177</v>
          </cell>
          <cell r="C111">
            <v>40164</v>
          </cell>
          <cell r="D111">
            <v>40094</v>
          </cell>
          <cell r="E111">
            <v>39812</v>
          </cell>
          <cell r="F111">
            <v>339.92</v>
          </cell>
          <cell r="G111">
            <v>268.98500000000001</v>
          </cell>
          <cell r="H111">
            <v>1.4338</v>
          </cell>
          <cell r="I111">
            <v>278.49769842376901</v>
          </cell>
          <cell r="J111">
            <v>24841.33</v>
          </cell>
          <cell r="K111">
            <v>23248.39</v>
          </cell>
          <cell r="L111">
            <v>1126.42</v>
          </cell>
          <cell r="M111">
            <v>5397.86</v>
          </cell>
          <cell r="N111">
            <v>5957.43</v>
          </cell>
          <cell r="O111">
            <v>3935.5</v>
          </cell>
          <cell r="P111">
            <v>10546.44</v>
          </cell>
        </row>
        <row r="112">
          <cell r="B112">
            <v>40185</v>
          </cell>
          <cell r="C112">
            <v>40177</v>
          </cell>
          <cell r="D112">
            <v>40101</v>
          </cell>
          <cell r="E112">
            <v>39820</v>
          </cell>
          <cell r="F112">
            <v>340.09</v>
          </cell>
          <cell r="G112">
            <v>268.84500000000003</v>
          </cell>
          <cell r="H112">
            <v>1.4303999999999999</v>
          </cell>
          <cell r="I112">
            <v>286.19966442953023</v>
          </cell>
          <cell r="J112">
            <v>25643.21</v>
          </cell>
          <cell r="K112">
            <v>23709.01</v>
          </cell>
          <cell r="L112">
            <v>1141.3399999999999</v>
          </cell>
          <cell r="M112">
            <v>5526.72</v>
          </cell>
          <cell r="N112">
            <v>6019.36</v>
          </cell>
          <cell r="O112">
            <v>4024.8</v>
          </cell>
          <cell r="P112">
            <v>10681.66</v>
          </cell>
        </row>
        <row r="113">
          <cell r="B113">
            <v>40192</v>
          </cell>
          <cell r="C113">
            <v>40185</v>
          </cell>
          <cell r="D113">
            <v>40108</v>
          </cell>
          <cell r="E113">
            <v>39828</v>
          </cell>
          <cell r="F113">
            <v>340.24</v>
          </cell>
          <cell r="G113">
            <v>272.87799999999999</v>
          </cell>
          <cell r="H113">
            <v>1.4562999999999999</v>
          </cell>
          <cell r="I113">
            <v>282.26326993064617</v>
          </cell>
          <cell r="J113">
            <v>25443.91</v>
          </cell>
          <cell r="K113">
            <v>23805.99</v>
          </cell>
          <cell r="L113">
            <v>1148.46</v>
          </cell>
          <cell r="M113">
            <v>5498.2</v>
          </cell>
          <cell r="N113">
            <v>5988.88</v>
          </cell>
          <cell r="O113">
            <v>4015.77</v>
          </cell>
          <cell r="P113">
            <v>10907.68</v>
          </cell>
        </row>
        <row r="114">
          <cell r="B114">
            <v>40199</v>
          </cell>
          <cell r="C114">
            <v>40192</v>
          </cell>
          <cell r="D114">
            <v>40115</v>
          </cell>
          <cell r="E114">
            <v>39835</v>
          </cell>
          <cell r="F114">
            <v>340.01</v>
          </cell>
          <cell r="G114">
            <v>270.44600000000003</v>
          </cell>
          <cell r="H114">
            <v>1.4064000000000001</v>
          </cell>
          <cell r="I114">
            <v>283.42576791808875</v>
          </cell>
          <cell r="J114">
            <v>24963.67</v>
          </cell>
          <cell r="K114">
            <v>22876.46</v>
          </cell>
          <cell r="L114">
            <v>1116.48</v>
          </cell>
          <cell r="M114">
            <v>5335.1</v>
          </cell>
          <cell r="N114">
            <v>5746.97</v>
          </cell>
          <cell r="O114">
            <v>3862.16</v>
          </cell>
          <cell r="P114">
            <v>10868.41</v>
          </cell>
        </row>
        <row r="115">
          <cell r="B115">
            <v>40207</v>
          </cell>
          <cell r="C115">
            <v>40199</v>
          </cell>
          <cell r="D115">
            <v>40116</v>
          </cell>
          <cell r="E115">
            <v>39843</v>
          </cell>
          <cell r="F115">
            <v>339.41</v>
          </cell>
          <cell r="G115">
            <v>269.798</v>
          </cell>
          <cell r="H115">
            <v>1.3966000000000001</v>
          </cell>
          <cell r="I115">
            <v>270.50694543892308</v>
          </cell>
          <cell r="J115">
            <v>24582.65</v>
          </cell>
          <cell r="K115">
            <v>21896.29</v>
          </cell>
          <cell r="L115">
            <v>1073.8699999999999</v>
          </cell>
          <cell r="M115">
            <v>5188.5200000000004</v>
          </cell>
          <cell r="N115">
            <v>5608.79</v>
          </cell>
          <cell r="O115">
            <v>3739.46</v>
          </cell>
          <cell r="P115">
            <v>10198.040000000001</v>
          </cell>
        </row>
        <row r="116">
          <cell r="B116">
            <v>40213</v>
          </cell>
          <cell r="C116">
            <v>40207</v>
          </cell>
          <cell r="D116">
            <v>40122</v>
          </cell>
          <cell r="E116">
            <v>39849</v>
          </cell>
          <cell r="F116">
            <v>339.53</v>
          </cell>
          <cell r="G116">
            <v>269.03899999999999</v>
          </cell>
          <cell r="H116">
            <v>1.3847</v>
          </cell>
          <cell r="I116">
            <v>265.53766158734743</v>
          </cell>
          <cell r="J116">
            <v>23913.54</v>
          </cell>
          <cell r="K116">
            <v>21404.82</v>
          </cell>
          <cell r="L116">
            <v>1063.1099999999999</v>
          </cell>
          <cell r="M116">
            <v>5139.3100000000004</v>
          </cell>
          <cell r="N116">
            <v>5533.24</v>
          </cell>
          <cell r="O116">
            <v>3689.25</v>
          </cell>
          <cell r="P116">
            <v>10355.98</v>
          </cell>
        </row>
        <row r="117">
          <cell r="B117">
            <v>40220</v>
          </cell>
          <cell r="C117">
            <v>40213</v>
          </cell>
          <cell r="D117">
            <v>40129</v>
          </cell>
          <cell r="E117">
            <v>39856</v>
          </cell>
          <cell r="F117">
            <v>339.87</v>
          </cell>
          <cell r="G117">
            <v>268.36700000000002</v>
          </cell>
          <cell r="H117">
            <v>1.3717999999999999</v>
          </cell>
          <cell r="I117">
            <v>263.66088351071585</v>
          </cell>
          <cell r="J117">
            <v>23394.49</v>
          </cell>
          <cell r="K117">
            <v>21076.45</v>
          </cell>
          <cell r="L117">
            <v>1078.47</v>
          </cell>
          <cell r="M117">
            <v>5161.4799999999996</v>
          </cell>
          <cell r="N117">
            <v>5503.93</v>
          </cell>
          <cell r="O117">
            <v>3616.75</v>
          </cell>
          <cell r="P117">
            <v>9963.99</v>
          </cell>
        </row>
        <row r="118">
          <cell r="B118">
            <v>40227</v>
          </cell>
          <cell r="C118">
            <v>40220</v>
          </cell>
          <cell r="D118">
            <v>40136</v>
          </cell>
          <cell r="E118">
            <v>39863</v>
          </cell>
          <cell r="F118">
            <v>339.71</v>
          </cell>
          <cell r="G118">
            <v>267.23599999999999</v>
          </cell>
          <cell r="H118">
            <v>1.3567</v>
          </cell>
          <cell r="I118">
            <v>274.22422053512202</v>
          </cell>
          <cell r="J118">
            <v>23739.73</v>
          </cell>
          <cell r="K118">
            <v>21686.12</v>
          </cell>
          <cell r="L118">
            <v>1105.74</v>
          </cell>
          <cell r="M118">
            <v>5325.09</v>
          </cell>
          <cell r="N118">
            <v>5680.41</v>
          </cell>
          <cell r="O118">
            <v>3747.83</v>
          </cell>
          <cell r="P118">
            <v>10335.69</v>
          </cell>
        </row>
        <row r="119">
          <cell r="B119">
            <v>40235</v>
          </cell>
          <cell r="C119">
            <v>40227</v>
          </cell>
          <cell r="D119">
            <v>40143</v>
          </cell>
          <cell r="E119">
            <v>39871</v>
          </cell>
          <cell r="F119">
            <v>339.17</v>
          </cell>
          <cell r="G119">
            <v>270.46699999999998</v>
          </cell>
          <cell r="H119">
            <v>1.3489</v>
          </cell>
          <cell r="I119">
            <v>268.188894654904</v>
          </cell>
          <cell r="J119">
            <v>23438.61</v>
          </cell>
          <cell r="K119">
            <v>21068.32</v>
          </cell>
          <cell r="L119">
            <v>1104.49</v>
          </cell>
          <cell r="M119">
            <v>5354.52</v>
          </cell>
          <cell r="N119">
            <v>5598.46</v>
          </cell>
          <cell r="O119">
            <v>3708.8</v>
          </cell>
          <cell r="P119">
            <v>10126.030000000001</v>
          </cell>
        </row>
        <row r="120">
          <cell r="B120">
            <v>40241</v>
          </cell>
          <cell r="C120">
            <v>40235</v>
          </cell>
          <cell r="D120">
            <v>40147</v>
          </cell>
          <cell r="E120">
            <v>39877</v>
          </cell>
          <cell r="F120">
            <v>339.83</v>
          </cell>
          <cell r="G120">
            <v>270.31099999999998</v>
          </cell>
          <cell r="H120">
            <v>1.3668</v>
          </cell>
          <cell r="I120">
            <v>278.4606379865379</v>
          </cell>
          <cell r="J120">
            <v>24384.11</v>
          </cell>
          <cell r="K120">
            <v>21844.560000000001</v>
          </cell>
          <cell r="L120">
            <v>1122.97</v>
          </cell>
          <cell r="M120">
            <v>5527.16</v>
          </cell>
          <cell r="N120">
            <v>5795.32</v>
          </cell>
          <cell r="O120">
            <v>3828.41</v>
          </cell>
          <cell r="P120">
            <v>10145.719999999999</v>
          </cell>
        </row>
        <row r="121">
          <cell r="B121">
            <v>40248</v>
          </cell>
          <cell r="C121">
            <v>40241</v>
          </cell>
          <cell r="D121">
            <v>40150</v>
          </cell>
          <cell r="E121">
            <v>39884</v>
          </cell>
          <cell r="F121">
            <v>340.06</v>
          </cell>
          <cell r="G121">
            <v>268.82299999999998</v>
          </cell>
          <cell r="H121">
            <v>1.361</v>
          </cell>
          <cell r="I121">
            <v>285.48126377663482</v>
          </cell>
          <cell r="J121">
            <v>24839.08</v>
          </cell>
          <cell r="K121">
            <v>22540.85</v>
          </cell>
          <cell r="L121">
            <v>1150.24</v>
          </cell>
          <cell r="M121">
            <v>5617.26</v>
          </cell>
          <cell r="N121">
            <v>5928.63</v>
          </cell>
          <cell r="O121">
            <v>3928.95</v>
          </cell>
          <cell r="P121">
            <v>10664.95</v>
          </cell>
        </row>
        <row r="122">
          <cell r="B122">
            <v>40255</v>
          </cell>
          <cell r="C122">
            <v>40248</v>
          </cell>
          <cell r="D122">
            <v>40157</v>
          </cell>
          <cell r="E122">
            <v>39891</v>
          </cell>
          <cell r="F122">
            <v>339.77</v>
          </cell>
          <cell r="G122">
            <v>269.16800000000001</v>
          </cell>
          <cell r="H122">
            <v>1.3755999999999999</v>
          </cell>
          <cell r="I122">
            <v>287.40186100610646</v>
          </cell>
          <cell r="J122">
            <v>25048.44</v>
          </cell>
          <cell r="K122">
            <v>22785.15</v>
          </cell>
          <cell r="L122">
            <v>1165.83</v>
          </cell>
          <cell r="M122">
            <v>5642.62</v>
          </cell>
          <cell r="N122">
            <v>6012.31</v>
          </cell>
          <cell r="O122">
            <v>3938.18</v>
          </cell>
          <cell r="P122">
            <v>10744.03</v>
          </cell>
        </row>
        <row r="123">
          <cell r="B123">
            <v>40262</v>
          </cell>
          <cell r="C123">
            <v>40255</v>
          </cell>
          <cell r="D123">
            <v>40164</v>
          </cell>
          <cell r="E123">
            <v>39898</v>
          </cell>
          <cell r="F123">
            <v>340.05</v>
          </cell>
          <cell r="G123">
            <v>264.47199999999998</v>
          </cell>
          <cell r="H123">
            <v>1.3355999999999999</v>
          </cell>
          <cell r="I123">
            <v>288.39472896076671</v>
          </cell>
          <cell r="J123">
            <v>25524.87</v>
          </cell>
          <cell r="K123">
            <v>23034.46</v>
          </cell>
          <cell r="L123">
            <v>1172.44</v>
          </cell>
          <cell r="M123">
            <v>5727.65</v>
          </cell>
          <cell r="N123">
            <v>6132.95</v>
          </cell>
          <cell r="O123">
            <v>4000.48</v>
          </cell>
          <cell r="P123">
            <v>10828.85</v>
          </cell>
        </row>
        <row r="124">
          <cell r="B124">
            <v>40268</v>
          </cell>
          <cell r="C124">
            <v>40262</v>
          </cell>
          <cell r="D124">
            <v>40177</v>
          </cell>
          <cell r="E124">
            <v>39903</v>
          </cell>
          <cell r="F124">
            <v>340.3</v>
          </cell>
          <cell r="G124">
            <v>266.12799999999999</v>
          </cell>
          <cell r="H124">
            <v>1.3479000000000001</v>
          </cell>
          <cell r="I124">
            <v>291.17145188812225</v>
          </cell>
          <cell r="J124">
            <v>25732.99</v>
          </cell>
          <cell r="K124">
            <v>23206.66</v>
          </cell>
          <cell r="L124">
            <v>1178.0999999999999</v>
          </cell>
          <cell r="M124">
            <v>5744.89</v>
          </cell>
          <cell r="N124">
            <v>6235.56</v>
          </cell>
          <cell r="O124">
            <v>4034.23</v>
          </cell>
          <cell r="P124">
            <v>11244.4</v>
          </cell>
        </row>
        <row r="125">
          <cell r="B125">
            <v>40276</v>
          </cell>
          <cell r="C125">
            <v>40268</v>
          </cell>
          <cell r="D125">
            <v>40185</v>
          </cell>
          <cell r="E125">
            <v>39911</v>
          </cell>
          <cell r="F125">
            <v>340.05</v>
          </cell>
          <cell r="G125">
            <v>265.16300000000001</v>
          </cell>
          <cell r="H125">
            <v>1.3296000000000001</v>
          </cell>
          <cell r="I125">
            <v>294.20878459687123</v>
          </cell>
          <cell r="J125">
            <v>25472.11</v>
          </cell>
          <cell r="K125">
            <v>22820.01</v>
          </cell>
          <cell r="L125">
            <v>1186.44</v>
          </cell>
          <cell r="M125">
            <v>5712.7</v>
          </cell>
          <cell r="N125">
            <v>6171.83</v>
          </cell>
          <cell r="O125">
            <v>3978.46</v>
          </cell>
          <cell r="P125">
            <v>11168.2</v>
          </cell>
        </row>
        <row r="126">
          <cell r="B126">
            <v>40283</v>
          </cell>
          <cell r="C126">
            <v>40276</v>
          </cell>
          <cell r="D126">
            <v>40192</v>
          </cell>
          <cell r="E126">
            <v>39919</v>
          </cell>
          <cell r="F126">
            <v>340.36</v>
          </cell>
          <cell r="G126">
            <v>267.15899999999999</v>
          </cell>
          <cell r="H126">
            <v>1.3614999999999999</v>
          </cell>
          <cell r="I126">
            <v>298.09034153507162</v>
          </cell>
          <cell r="J126">
            <v>26000.240000000002</v>
          </cell>
          <cell r="K126">
            <v>23539.24</v>
          </cell>
          <cell r="L126">
            <v>1211.67</v>
          </cell>
          <cell r="M126">
            <v>5825.01</v>
          </cell>
          <cell r="N126">
            <v>6291.45</v>
          </cell>
          <cell r="O126">
            <v>4065.65</v>
          </cell>
          <cell r="P126">
            <v>11273.79</v>
          </cell>
        </row>
        <row r="127">
          <cell r="B127">
            <v>40290</v>
          </cell>
          <cell r="C127">
            <v>40283</v>
          </cell>
          <cell r="D127">
            <v>40199</v>
          </cell>
          <cell r="E127">
            <v>39926</v>
          </cell>
          <cell r="F127">
            <v>340.05</v>
          </cell>
          <cell r="G127">
            <v>265.483</v>
          </cell>
          <cell r="H127">
            <v>1.3372999999999999</v>
          </cell>
          <cell r="I127">
            <v>295.62551409556568</v>
          </cell>
          <cell r="J127">
            <v>25337.47</v>
          </cell>
          <cell r="K127">
            <v>22616.5</v>
          </cell>
          <cell r="L127">
            <v>1208.67</v>
          </cell>
          <cell r="M127">
            <v>5665.33</v>
          </cell>
          <cell r="N127">
            <v>6168.72</v>
          </cell>
          <cell r="O127">
            <v>3924.65</v>
          </cell>
          <cell r="P127">
            <v>10949.09</v>
          </cell>
        </row>
        <row r="128">
          <cell r="B128">
            <v>40298</v>
          </cell>
          <cell r="C128">
            <v>40290</v>
          </cell>
          <cell r="D128">
            <v>40207</v>
          </cell>
          <cell r="E128">
            <v>39933</v>
          </cell>
          <cell r="F128">
            <v>338.51</v>
          </cell>
          <cell r="G128">
            <v>265.37</v>
          </cell>
          <cell r="H128">
            <v>1.3315000000000001</v>
          </cell>
          <cell r="I128">
            <v>285.88809613218172</v>
          </cell>
          <cell r="J128">
            <v>24951.040000000001</v>
          </cell>
          <cell r="K128">
            <v>21562.48</v>
          </cell>
          <cell r="L128">
            <v>1186.69</v>
          </cell>
          <cell r="M128">
            <v>5553.29</v>
          </cell>
          <cell r="N128">
            <v>6135.7</v>
          </cell>
          <cell r="O128">
            <v>3816.99</v>
          </cell>
          <cell r="P128">
            <v>11057.4</v>
          </cell>
        </row>
        <row r="129">
          <cell r="B129">
            <v>40304</v>
          </cell>
          <cell r="C129">
            <v>40298</v>
          </cell>
          <cell r="D129">
            <v>40213</v>
          </cell>
          <cell r="E129">
            <v>39940</v>
          </cell>
          <cell r="F129">
            <v>336.79</v>
          </cell>
          <cell r="G129">
            <v>262.322</v>
          </cell>
          <cell r="H129">
            <v>1.2726999999999999</v>
          </cell>
          <cell r="I129">
            <v>270.90437652235403</v>
          </cell>
          <cell r="J129">
            <v>22923.69</v>
          </cell>
          <cell r="K129">
            <v>19483.93</v>
          </cell>
          <cell r="L129">
            <v>1128.1500000000001</v>
          </cell>
          <cell r="M129">
            <v>5260.99</v>
          </cell>
          <cell r="N129">
            <v>5908.26</v>
          </cell>
          <cell r="O129">
            <v>3556.11</v>
          </cell>
          <cell r="P129">
            <v>10695.69</v>
          </cell>
        </row>
        <row r="130">
          <cell r="B130">
            <v>40311</v>
          </cell>
          <cell r="C130">
            <v>40304</v>
          </cell>
          <cell r="D130">
            <v>40220</v>
          </cell>
          <cell r="E130">
            <v>39947</v>
          </cell>
          <cell r="F130">
            <v>338.85</v>
          </cell>
          <cell r="G130">
            <v>262.32499999999999</v>
          </cell>
          <cell r="H130">
            <v>1.2685999999999999</v>
          </cell>
          <cell r="I130">
            <v>281.95648746649852</v>
          </cell>
          <cell r="J130">
            <v>23883.91</v>
          </cell>
          <cell r="K130">
            <v>20878.830000000002</v>
          </cell>
          <cell r="L130">
            <v>1157.44</v>
          </cell>
          <cell r="M130">
            <v>5433.73</v>
          </cell>
          <cell r="N130">
            <v>6251.97</v>
          </cell>
          <cell r="O130">
            <v>3731.54</v>
          </cell>
          <cell r="P130">
            <v>10620.55</v>
          </cell>
        </row>
        <row r="131">
          <cell r="B131">
            <v>40318</v>
          </cell>
          <cell r="C131">
            <v>40311</v>
          </cell>
          <cell r="D131">
            <v>40227</v>
          </cell>
          <cell r="E131">
            <v>39954</v>
          </cell>
          <cell r="F131">
            <v>337.89</v>
          </cell>
          <cell r="G131">
            <v>264.43099999999998</v>
          </cell>
          <cell r="H131">
            <v>1.2270000000000001</v>
          </cell>
          <cell r="I131">
            <v>269.4050529747351</v>
          </cell>
          <cell r="J131">
            <v>22223.41</v>
          </cell>
          <cell r="K131">
            <v>19282.05</v>
          </cell>
          <cell r="L131">
            <v>1071.5899999999999</v>
          </cell>
          <cell r="M131">
            <v>5073.13</v>
          </cell>
          <cell r="N131">
            <v>5867.88</v>
          </cell>
          <cell r="O131">
            <v>3432.52</v>
          </cell>
          <cell r="P131">
            <v>10030.31</v>
          </cell>
        </row>
        <row r="132">
          <cell r="B132">
            <v>40325</v>
          </cell>
          <cell r="C132">
            <v>40318</v>
          </cell>
          <cell r="D132">
            <v>40235</v>
          </cell>
          <cell r="E132">
            <v>39962</v>
          </cell>
          <cell r="F132">
            <v>335.6</v>
          </cell>
          <cell r="G132">
            <v>262.59500000000003</v>
          </cell>
          <cell r="H132">
            <v>1.2309000000000001</v>
          </cell>
          <cell r="I132">
            <v>259.46055731578519</v>
          </cell>
          <cell r="J132">
            <v>22828.75</v>
          </cell>
          <cell r="K132">
            <v>19631.87</v>
          </cell>
          <cell r="L132">
            <v>1103.06</v>
          </cell>
          <cell r="M132">
            <v>5195.17</v>
          </cell>
          <cell r="N132">
            <v>5937.14</v>
          </cell>
          <cell r="O132">
            <v>3525.31</v>
          </cell>
          <cell r="P132">
            <v>9639.7199999999993</v>
          </cell>
        </row>
        <row r="133">
          <cell r="B133">
            <v>40329</v>
          </cell>
          <cell r="C133">
            <v>40325</v>
          </cell>
          <cell r="D133">
            <v>40241</v>
          </cell>
          <cell r="E133">
            <v>39968</v>
          </cell>
          <cell r="F133">
            <v>335.28</v>
          </cell>
          <cell r="G133">
            <v>262.81</v>
          </cell>
          <cell r="H133">
            <v>1.2155</v>
          </cell>
          <cell r="I133">
            <v>272.58741258741259</v>
          </cell>
          <cell r="J133">
            <v>22880.46</v>
          </cell>
          <cell r="K133">
            <v>19279.18</v>
          </cell>
          <cell r="L133">
            <v>1070.71</v>
          </cell>
          <cell r="M133">
            <v>5163.3</v>
          </cell>
          <cell r="N133">
            <v>5981.27</v>
          </cell>
          <cell r="O133">
            <v>3503.08</v>
          </cell>
          <cell r="P133">
            <v>9711.83</v>
          </cell>
        </row>
        <row r="134">
          <cell r="B134">
            <v>40339</v>
          </cell>
          <cell r="C134">
            <v>40329</v>
          </cell>
          <cell r="D134">
            <v>40248</v>
          </cell>
          <cell r="E134">
            <v>39975</v>
          </cell>
          <cell r="F134">
            <v>337.01</v>
          </cell>
          <cell r="G134">
            <v>261.904</v>
          </cell>
          <cell r="H134">
            <v>1.2010000000000001</v>
          </cell>
          <cell r="I134">
            <v>269.51706910907575</v>
          </cell>
          <cell r="J134">
            <v>22734.97</v>
          </cell>
          <cell r="K134">
            <v>19391.09</v>
          </cell>
          <cell r="L134">
            <v>1086.8399999999999</v>
          </cell>
          <cell r="M134">
            <v>5132.5</v>
          </cell>
          <cell r="N134">
            <v>6056.59</v>
          </cell>
          <cell r="O134">
            <v>3516.64</v>
          </cell>
          <cell r="P134">
            <v>9542.65</v>
          </cell>
        </row>
        <row r="135">
          <cell r="B135">
            <v>40346</v>
          </cell>
          <cell r="C135">
            <v>40339</v>
          </cell>
          <cell r="D135">
            <v>40255</v>
          </cell>
          <cell r="E135">
            <v>39982</v>
          </cell>
          <cell r="F135">
            <v>337.82</v>
          </cell>
          <cell r="G135">
            <v>263.2</v>
          </cell>
          <cell r="H135">
            <v>1.2363</v>
          </cell>
          <cell r="I135">
            <v>279.77837094556338</v>
          </cell>
          <cell r="J135">
            <v>23427.56</v>
          </cell>
          <cell r="K135">
            <v>20568.91</v>
          </cell>
          <cell r="L135">
            <v>1116.04</v>
          </cell>
          <cell r="M135">
            <v>5253.89</v>
          </cell>
          <cell r="N135">
            <v>6223.54</v>
          </cell>
          <cell r="O135">
            <v>3683.08</v>
          </cell>
          <cell r="P135">
            <v>9999.4</v>
          </cell>
        </row>
        <row r="136">
          <cell r="B136">
            <v>40353</v>
          </cell>
          <cell r="C136">
            <v>40346</v>
          </cell>
          <cell r="D136">
            <v>40262</v>
          </cell>
          <cell r="E136">
            <v>39989</v>
          </cell>
          <cell r="F136">
            <v>337.87</v>
          </cell>
          <cell r="G136">
            <v>266.58699999999999</v>
          </cell>
          <cell r="H136">
            <v>1.2271000000000001</v>
          </cell>
          <cell r="I136">
            <v>278.68144405508923</v>
          </cell>
          <cell r="J136">
            <v>22827.03</v>
          </cell>
          <cell r="K136">
            <v>19942.39</v>
          </cell>
          <cell r="L136">
            <v>1073.69</v>
          </cell>
          <cell r="M136">
            <v>5100.2299999999996</v>
          </cell>
          <cell r="N136">
            <v>6115.48</v>
          </cell>
          <cell r="O136">
            <v>3555.36</v>
          </cell>
          <cell r="P136">
            <v>9928.34</v>
          </cell>
        </row>
        <row r="137">
          <cell r="B137">
            <v>40359</v>
          </cell>
          <cell r="C137">
            <v>40353</v>
          </cell>
          <cell r="D137">
            <v>40268</v>
          </cell>
          <cell r="E137">
            <v>39994</v>
          </cell>
          <cell r="F137">
            <v>337.66</v>
          </cell>
          <cell r="G137">
            <v>267.75099999999998</v>
          </cell>
          <cell r="H137">
            <v>1.2198</v>
          </cell>
          <cell r="I137">
            <v>267.0765699294966</v>
          </cell>
          <cell r="J137">
            <v>22343.89</v>
          </cell>
          <cell r="K137">
            <v>19311.75</v>
          </cell>
          <cell r="L137">
            <v>1030.71</v>
          </cell>
          <cell r="M137">
            <v>4916.87</v>
          </cell>
          <cell r="N137">
            <v>5965.52</v>
          </cell>
          <cell r="O137">
            <v>3442.89</v>
          </cell>
          <cell r="P137">
            <v>9382.64</v>
          </cell>
        </row>
        <row r="138">
          <cell r="B138">
            <v>40367</v>
          </cell>
          <cell r="C138">
            <v>40359</v>
          </cell>
          <cell r="D138">
            <v>40276</v>
          </cell>
          <cell r="E138">
            <v>40003</v>
          </cell>
          <cell r="F138">
            <v>337.37</v>
          </cell>
          <cell r="G138">
            <v>270.75400000000002</v>
          </cell>
          <cell r="H138">
            <v>1.266</v>
          </cell>
          <cell r="I138">
            <v>273.30173775671403</v>
          </cell>
          <cell r="J138">
            <v>23145.7</v>
          </cell>
          <cell r="K138">
            <v>20243.73</v>
          </cell>
          <cell r="L138">
            <v>1070.25</v>
          </cell>
          <cell r="M138">
            <v>5105.45</v>
          </cell>
          <cell r="N138">
            <v>6035.66</v>
          </cell>
          <cell r="O138">
            <v>3538.25</v>
          </cell>
          <cell r="P138">
            <v>9535.74</v>
          </cell>
        </row>
        <row r="139">
          <cell r="B139">
            <v>40374</v>
          </cell>
          <cell r="C139">
            <v>40367</v>
          </cell>
          <cell r="D139">
            <v>40283</v>
          </cell>
          <cell r="E139">
            <v>40010</v>
          </cell>
          <cell r="F139">
            <v>337.2</v>
          </cell>
          <cell r="G139">
            <v>272.25</v>
          </cell>
          <cell r="H139">
            <v>1.2827999999999999</v>
          </cell>
          <cell r="I139">
            <v>279.07701902089184</v>
          </cell>
          <cell r="J139">
            <v>23135.26</v>
          </cell>
          <cell r="K139">
            <v>20480.080000000002</v>
          </cell>
          <cell r="L139">
            <v>1096.48</v>
          </cell>
          <cell r="M139">
            <v>5211.29</v>
          </cell>
          <cell r="N139">
            <v>6149.36</v>
          </cell>
          <cell r="O139">
            <v>3581.82</v>
          </cell>
          <cell r="P139">
            <v>9685.5300000000007</v>
          </cell>
        </row>
        <row r="140">
          <cell r="B140">
            <v>40381</v>
          </cell>
          <cell r="C140">
            <v>40374</v>
          </cell>
          <cell r="D140">
            <v>40290</v>
          </cell>
          <cell r="E140">
            <v>40017</v>
          </cell>
          <cell r="F140">
            <v>337.66</v>
          </cell>
          <cell r="G140">
            <v>274.76600000000002</v>
          </cell>
          <cell r="H140">
            <v>1.2849999999999999</v>
          </cell>
          <cell r="I140">
            <v>280.46692607003894</v>
          </cell>
          <cell r="J140">
            <v>23083.69</v>
          </cell>
          <cell r="K140">
            <v>20694.259999999998</v>
          </cell>
          <cell r="L140">
            <v>1093.67</v>
          </cell>
          <cell r="M140">
            <v>5313.81</v>
          </cell>
          <cell r="N140">
            <v>6142.15</v>
          </cell>
          <cell r="O140">
            <v>3600.57</v>
          </cell>
          <cell r="P140">
            <v>9220.8799999999992</v>
          </cell>
        </row>
        <row r="141">
          <cell r="B141">
            <v>40389</v>
          </cell>
          <cell r="C141">
            <v>40381</v>
          </cell>
          <cell r="D141">
            <v>40298</v>
          </cell>
          <cell r="E141">
            <v>40025</v>
          </cell>
          <cell r="F141">
            <v>337.98</v>
          </cell>
          <cell r="G141">
            <v>277.16500000000002</v>
          </cell>
          <cell r="H141">
            <v>1.3028</v>
          </cell>
          <cell r="I141">
            <v>280.31931225053728</v>
          </cell>
          <cell r="J141">
            <v>23282.91</v>
          </cell>
          <cell r="K141">
            <v>21021.56</v>
          </cell>
          <cell r="L141">
            <v>1101.5999999999999</v>
          </cell>
          <cell r="M141">
            <v>5258.02</v>
          </cell>
          <cell r="N141">
            <v>6147.97</v>
          </cell>
          <cell r="O141">
            <v>3643.14</v>
          </cell>
          <cell r="P141">
            <v>9537.2999999999993</v>
          </cell>
        </row>
        <row r="142">
          <cell r="B142">
            <v>40395</v>
          </cell>
          <cell r="C142">
            <v>40389</v>
          </cell>
          <cell r="D142">
            <v>40304</v>
          </cell>
          <cell r="E142">
            <v>40031</v>
          </cell>
          <cell r="F142">
            <v>338.79</v>
          </cell>
          <cell r="G142">
            <v>277.27999999999997</v>
          </cell>
          <cell r="H142">
            <v>1.3184</v>
          </cell>
          <cell r="I142">
            <v>286.54429611650482</v>
          </cell>
          <cell r="J142">
            <v>23497.040000000001</v>
          </cell>
          <cell r="K142">
            <v>21302.97</v>
          </cell>
          <cell r="L142">
            <v>1125.81</v>
          </cell>
          <cell r="M142">
            <v>5365.78</v>
          </cell>
          <cell r="N142">
            <v>6333.58</v>
          </cell>
          <cell r="O142">
            <v>3764.19</v>
          </cell>
          <cell r="P142">
            <v>9653.92</v>
          </cell>
        </row>
        <row r="143">
          <cell r="B143">
            <v>40402</v>
          </cell>
          <cell r="C143">
            <v>40395</v>
          </cell>
          <cell r="D143">
            <v>40311</v>
          </cell>
          <cell r="E143">
            <v>40038</v>
          </cell>
          <cell r="F143">
            <v>338.82</v>
          </cell>
          <cell r="G143">
            <v>278.97399999999999</v>
          </cell>
          <cell r="H143">
            <v>1.2789999999999999</v>
          </cell>
          <cell r="I143">
            <v>281.19624706802188</v>
          </cell>
          <cell r="J143">
            <v>22672.42</v>
          </cell>
          <cell r="K143">
            <v>20539.400000000001</v>
          </cell>
          <cell r="L143">
            <v>1083.6099999999999</v>
          </cell>
          <cell r="M143">
            <v>5266.06</v>
          </cell>
          <cell r="N143">
            <v>6135.17</v>
          </cell>
          <cell r="O143">
            <v>3621.07</v>
          </cell>
          <cell r="P143">
            <v>9212.59</v>
          </cell>
        </row>
        <row r="144">
          <cell r="B144">
            <v>40409</v>
          </cell>
          <cell r="C144">
            <v>40402</v>
          </cell>
          <cell r="D144">
            <v>40318</v>
          </cell>
          <cell r="E144">
            <v>40045</v>
          </cell>
          <cell r="F144">
            <v>339.3</v>
          </cell>
          <cell r="G144">
            <v>281.95299999999997</v>
          </cell>
          <cell r="H144">
            <v>1.2836000000000001</v>
          </cell>
          <cell r="I144">
            <v>279.23808039887814</v>
          </cell>
          <cell r="J144">
            <v>22555.24</v>
          </cell>
          <cell r="K144">
            <v>20115.689999999999</v>
          </cell>
          <cell r="L144">
            <v>1075.6300000000001</v>
          </cell>
          <cell r="M144">
            <v>5211.29</v>
          </cell>
          <cell r="N144">
            <v>6075.13</v>
          </cell>
          <cell r="O144">
            <v>3572.4</v>
          </cell>
          <cell r="P144">
            <v>9362.68</v>
          </cell>
        </row>
        <row r="145">
          <cell r="B145">
            <v>40416</v>
          </cell>
          <cell r="C145">
            <v>40409</v>
          </cell>
          <cell r="D145">
            <v>40325</v>
          </cell>
          <cell r="E145">
            <v>40056</v>
          </cell>
          <cell r="F145">
            <v>338.72</v>
          </cell>
          <cell r="G145">
            <v>282.61900000000003</v>
          </cell>
          <cell r="H145">
            <v>1.2693000000000001</v>
          </cell>
          <cell r="I145">
            <v>274.91530764988573</v>
          </cell>
          <cell r="J145">
            <v>22256.5</v>
          </cell>
          <cell r="K145">
            <v>19735.47</v>
          </cell>
          <cell r="L145">
            <v>1047.22</v>
          </cell>
          <cell r="M145">
            <v>5155.84</v>
          </cell>
          <cell r="N145">
            <v>5912.58</v>
          </cell>
          <cell r="O145">
            <v>3475.03</v>
          </cell>
          <cell r="P145">
            <v>8906.48</v>
          </cell>
        </row>
        <row r="146">
          <cell r="B146">
            <v>40421</v>
          </cell>
          <cell r="C146">
            <v>40416</v>
          </cell>
          <cell r="D146">
            <v>40329</v>
          </cell>
          <cell r="E146">
            <v>40066</v>
          </cell>
          <cell r="F146">
            <v>338.01</v>
          </cell>
          <cell r="G146">
            <v>282.77300000000002</v>
          </cell>
          <cell r="H146">
            <v>1.268</v>
          </cell>
          <cell r="I146">
            <v>276.38012618296528</v>
          </cell>
          <cell r="J146">
            <v>22481.61</v>
          </cell>
          <cell r="K146">
            <v>19734.57</v>
          </cell>
          <cell r="L146">
            <v>1049.33</v>
          </cell>
          <cell r="M146">
            <v>5225.22</v>
          </cell>
          <cell r="N146">
            <v>5925.22</v>
          </cell>
          <cell r="O146">
            <v>3490.79</v>
          </cell>
          <cell r="P146">
            <v>8824.06</v>
          </cell>
        </row>
        <row r="147">
          <cell r="B147">
            <v>40430</v>
          </cell>
          <cell r="C147">
            <v>40421</v>
          </cell>
          <cell r="D147">
            <v>40339</v>
          </cell>
          <cell r="E147">
            <v>40073</v>
          </cell>
          <cell r="F147">
            <v>338.43</v>
          </cell>
          <cell r="G147">
            <v>280.60899999999998</v>
          </cell>
          <cell r="H147">
            <v>1.2715000000000001</v>
          </cell>
          <cell r="I147">
            <v>291.38025953598111</v>
          </cell>
          <cell r="J147">
            <v>23454.21</v>
          </cell>
          <cell r="K147">
            <v>20858.47</v>
          </cell>
          <cell r="L147">
            <v>1104.18</v>
          </cell>
          <cell r="M147">
            <v>5494.16</v>
          </cell>
          <cell r="N147">
            <v>6221.52</v>
          </cell>
          <cell r="O147">
            <v>3722.15</v>
          </cell>
          <cell r="P147">
            <v>9098.39</v>
          </cell>
        </row>
        <row r="148">
          <cell r="B148">
            <v>40437</v>
          </cell>
          <cell r="C148">
            <v>40430</v>
          </cell>
          <cell r="D148">
            <v>40346</v>
          </cell>
          <cell r="E148">
            <v>40080</v>
          </cell>
          <cell r="F148">
            <v>338.73</v>
          </cell>
          <cell r="G148">
            <v>280.964</v>
          </cell>
          <cell r="H148">
            <v>1.3078000000000001</v>
          </cell>
          <cell r="I148">
            <v>289.66202783300196</v>
          </cell>
          <cell r="J148">
            <v>23510.85</v>
          </cell>
          <cell r="K148">
            <v>20684.36</v>
          </cell>
          <cell r="L148">
            <v>1124.6600000000001</v>
          </cell>
          <cell r="M148">
            <v>5540.14</v>
          </cell>
          <cell r="N148">
            <v>6249.65</v>
          </cell>
          <cell r="O148">
            <v>3736.3</v>
          </cell>
          <cell r="P148">
            <v>9509.5</v>
          </cell>
        </row>
        <row r="149">
          <cell r="B149">
            <v>40444</v>
          </cell>
          <cell r="C149">
            <v>40437</v>
          </cell>
          <cell r="D149">
            <v>40353</v>
          </cell>
          <cell r="E149">
            <v>40086</v>
          </cell>
          <cell r="F149">
            <v>338.43</v>
          </cell>
          <cell r="G149">
            <v>285.53699999999998</v>
          </cell>
          <cell r="H149">
            <v>1.3323</v>
          </cell>
          <cell r="I149">
            <v>286.74472716355172</v>
          </cell>
          <cell r="J149">
            <v>23315.97</v>
          </cell>
          <cell r="K149">
            <v>20262.8</v>
          </cell>
          <cell r="L149">
            <v>1124.83</v>
          </cell>
          <cell r="M149">
            <v>5547.08</v>
          </cell>
          <cell r="N149">
            <v>6184.71</v>
          </cell>
          <cell r="O149">
            <v>3710.61</v>
          </cell>
          <cell r="P149">
            <v>9566.32</v>
          </cell>
        </row>
        <row r="150">
          <cell r="B150">
            <v>40451</v>
          </cell>
          <cell r="C150">
            <v>40444</v>
          </cell>
          <cell r="D150">
            <v>40359</v>
          </cell>
          <cell r="E150">
            <v>40094</v>
          </cell>
          <cell r="F150">
            <v>338.23</v>
          </cell>
          <cell r="G150">
            <v>289.28800000000001</v>
          </cell>
          <cell r="H150">
            <v>1.3648</v>
          </cell>
          <cell r="I150">
            <v>285.12407678780772</v>
          </cell>
          <cell r="J150">
            <v>23601.33</v>
          </cell>
          <cell r="K150">
            <v>20505.2</v>
          </cell>
          <cell r="L150">
            <v>1141.2</v>
          </cell>
          <cell r="M150">
            <v>5548.62</v>
          </cell>
          <cell r="N150">
            <v>6229.02</v>
          </cell>
          <cell r="O150">
            <v>3715.18</v>
          </cell>
          <cell r="P150">
            <v>9369.35</v>
          </cell>
        </row>
        <row r="151">
          <cell r="B151">
            <v>40458</v>
          </cell>
          <cell r="C151">
            <v>40451</v>
          </cell>
          <cell r="D151">
            <v>40367</v>
          </cell>
          <cell r="E151">
            <v>40101</v>
          </cell>
          <cell r="F151">
            <v>338.79</v>
          </cell>
          <cell r="G151">
            <v>293.62799999999999</v>
          </cell>
          <cell r="H151">
            <v>1.397</v>
          </cell>
          <cell r="I151">
            <v>287.5089477451682</v>
          </cell>
          <cell r="J151">
            <v>23893.360000000001</v>
          </cell>
          <cell r="K151">
            <v>20691.900000000001</v>
          </cell>
          <cell r="L151">
            <v>1158.06</v>
          </cell>
          <cell r="M151">
            <v>5662.13</v>
          </cell>
          <cell r="N151">
            <v>6276.25</v>
          </cell>
          <cell r="O151">
            <v>3770.47</v>
          </cell>
          <cell r="P151">
            <v>9684.81</v>
          </cell>
        </row>
        <row r="152">
          <cell r="B152">
            <v>40465</v>
          </cell>
          <cell r="C152">
            <v>40458</v>
          </cell>
          <cell r="D152">
            <v>40374</v>
          </cell>
          <cell r="E152">
            <v>40108</v>
          </cell>
          <cell r="F152">
            <v>339.28</v>
          </cell>
          <cell r="G152">
            <v>295.37299999999999</v>
          </cell>
          <cell r="H152">
            <v>1.4100999999999999</v>
          </cell>
          <cell r="I152">
            <v>291.64598255442877</v>
          </cell>
          <cell r="J152">
            <v>24210.66</v>
          </cell>
          <cell r="K152">
            <v>21094.86</v>
          </cell>
          <cell r="L152">
            <v>1173.81</v>
          </cell>
          <cell r="M152">
            <v>5727.21</v>
          </cell>
          <cell r="N152">
            <v>6455.27</v>
          </cell>
          <cell r="O152">
            <v>3819.17</v>
          </cell>
          <cell r="P152">
            <v>9583.51</v>
          </cell>
        </row>
        <row r="153">
          <cell r="B153">
            <v>40472</v>
          </cell>
          <cell r="C153">
            <v>40465</v>
          </cell>
          <cell r="D153">
            <v>40381</v>
          </cell>
          <cell r="E153">
            <v>40115</v>
          </cell>
          <cell r="F153">
            <v>339.53</v>
          </cell>
          <cell r="G153">
            <v>293.66399999999999</v>
          </cell>
          <cell r="H153">
            <v>1.4016</v>
          </cell>
          <cell r="I153">
            <v>293.71432648401827</v>
          </cell>
          <cell r="J153">
            <v>24562.98</v>
          </cell>
          <cell r="K153">
            <v>21616.43</v>
          </cell>
          <cell r="L153">
            <v>1180.26</v>
          </cell>
          <cell r="M153">
            <v>5757.86</v>
          </cell>
          <cell r="N153">
            <v>6611.01</v>
          </cell>
          <cell r="O153">
            <v>3878.27</v>
          </cell>
          <cell r="P153">
            <v>9376.48</v>
          </cell>
        </row>
        <row r="154">
          <cell r="B154">
            <v>40480</v>
          </cell>
          <cell r="C154">
            <v>40472</v>
          </cell>
          <cell r="D154">
            <v>40389</v>
          </cell>
          <cell r="E154">
            <v>40116</v>
          </cell>
          <cell r="F154">
            <v>339.71</v>
          </cell>
          <cell r="G154">
            <v>293.19099999999997</v>
          </cell>
          <cell r="H154">
            <v>1.3856999999999999</v>
          </cell>
          <cell r="I154">
            <v>293.14425921916722</v>
          </cell>
          <cell r="J154">
            <v>24432.28</v>
          </cell>
          <cell r="K154">
            <v>21450.61</v>
          </cell>
          <cell r="L154">
            <v>1183.26</v>
          </cell>
          <cell r="M154">
            <v>5675.16</v>
          </cell>
          <cell r="N154">
            <v>6601.37</v>
          </cell>
          <cell r="O154">
            <v>3833.5</v>
          </cell>
          <cell r="P154">
            <v>9202.4500000000007</v>
          </cell>
        </row>
        <row r="155">
          <cell r="B155">
            <v>40486</v>
          </cell>
          <cell r="C155">
            <v>40480</v>
          </cell>
          <cell r="D155">
            <v>40395</v>
          </cell>
          <cell r="E155">
            <v>40122</v>
          </cell>
          <cell r="F155">
            <v>339.23</v>
          </cell>
          <cell r="G155">
            <v>296.49299999999999</v>
          </cell>
          <cell r="H155">
            <v>1.4244000000000001</v>
          </cell>
          <cell r="I155">
            <v>297.33221005335577</v>
          </cell>
          <cell r="J155">
            <v>24338.45</v>
          </cell>
          <cell r="K155">
            <v>21469.19</v>
          </cell>
          <cell r="L155">
            <v>1221.06</v>
          </cell>
          <cell r="M155">
            <v>5862.79</v>
          </cell>
          <cell r="N155">
            <v>6734.69</v>
          </cell>
          <cell r="O155">
            <v>3916.78</v>
          </cell>
          <cell r="P155">
            <v>9358.7800000000007</v>
          </cell>
        </row>
        <row r="156">
          <cell r="B156">
            <v>40493</v>
          </cell>
          <cell r="C156">
            <v>40486</v>
          </cell>
          <cell r="D156">
            <v>40402</v>
          </cell>
          <cell r="E156">
            <v>40129</v>
          </cell>
          <cell r="F156">
            <v>338.43</v>
          </cell>
          <cell r="G156">
            <v>288.64699999999999</v>
          </cell>
          <cell r="H156">
            <v>1.37</v>
          </cell>
          <cell r="I156">
            <v>297.54014598540141</v>
          </cell>
          <cell r="J156">
            <v>23591.97</v>
          </cell>
          <cell r="K156">
            <v>20855.96</v>
          </cell>
          <cell r="L156">
            <v>1213.54</v>
          </cell>
          <cell r="M156">
            <v>5815.23</v>
          </cell>
          <cell r="N156">
            <v>6723.41</v>
          </cell>
          <cell r="O156">
            <v>3867.35</v>
          </cell>
          <cell r="P156">
            <v>9861.4599999999991</v>
          </cell>
        </row>
        <row r="157">
          <cell r="B157">
            <v>40500</v>
          </cell>
          <cell r="C157">
            <v>40493</v>
          </cell>
          <cell r="D157">
            <v>40409</v>
          </cell>
          <cell r="E157">
            <v>40136</v>
          </cell>
          <cell r="F157">
            <v>338.86</v>
          </cell>
          <cell r="G157">
            <v>284.30900000000003</v>
          </cell>
          <cell r="H157">
            <v>1.3647</v>
          </cell>
          <cell r="I157">
            <v>296.99567670550306</v>
          </cell>
          <cell r="J157">
            <v>23680.99</v>
          </cell>
          <cell r="K157">
            <v>20880.38</v>
          </cell>
          <cell r="L157">
            <v>1196.69</v>
          </cell>
          <cell r="M157">
            <v>5768.71</v>
          </cell>
          <cell r="N157">
            <v>6832.11</v>
          </cell>
          <cell r="O157">
            <v>3867.97</v>
          </cell>
          <cell r="P157">
            <v>10013.629999999999</v>
          </cell>
        </row>
        <row r="158">
          <cell r="B158">
            <v>40507</v>
          </cell>
          <cell r="C158">
            <v>40500</v>
          </cell>
          <cell r="D158">
            <v>40416</v>
          </cell>
          <cell r="E158">
            <v>40143</v>
          </cell>
          <cell r="F158">
            <v>337.41</v>
          </cell>
          <cell r="G158">
            <v>282.41399999999999</v>
          </cell>
          <cell r="H158">
            <v>1.3321000000000001</v>
          </cell>
          <cell r="I158">
            <v>295.01538923504239</v>
          </cell>
          <cell r="J158">
            <v>23214.41</v>
          </cell>
          <cell r="K158">
            <v>19945.939999999999</v>
          </cell>
          <cell r="L158">
            <v>1198.3499999999999</v>
          </cell>
          <cell r="M158">
            <v>5698.93</v>
          </cell>
          <cell r="N158">
            <v>6879.66</v>
          </cell>
          <cell r="O158">
            <v>3760.42</v>
          </cell>
          <cell r="P158">
            <v>10079.76</v>
          </cell>
        </row>
        <row r="159">
          <cell r="B159">
            <v>40512</v>
          </cell>
          <cell r="C159">
            <v>40507</v>
          </cell>
          <cell r="D159">
            <v>40421</v>
          </cell>
          <cell r="E159">
            <v>40147</v>
          </cell>
          <cell r="F159">
            <v>334.13</v>
          </cell>
          <cell r="G159">
            <v>279.77100000000002</v>
          </cell>
          <cell r="H159">
            <v>1.2998000000000001</v>
          </cell>
          <cell r="I159">
            <v>287.69041390983227</v>
          </cell>
          <cell r="J159">
            <v>22510.05</v>
          </cell>
          <cell r="K159">
            <v>19105.71</v>
          </cell>
          <cell r="L159">
            <v>1180.55</v>
          </cell>
          <cell r="M159">
            <v>5528.27</v>
          </cell>
          <cell r="N159">
            <v>6688.49</v>
          </cell>
          <cell r="O159">
            <v>3610.44</v>
          </cell>
          <cell r="P159">
            <v>9937.0400000000009</v>
          </cell>
        </row>
        <row r="160">
          <cell r="B160">
            <v>40521</v>
          </cell>
          <cell r="C160">
            <v>40512</v>
          </cell>
          <cell r="D160">
            <v>40430</v>
          </cell>
          <cell r="E160">
            <v>40150</v>
          </cell>
          <cell r="F160">
            <v>337.5</v>
          </cell>
          <cell r="G160">
            <v>278.334</v>
          </cell>
          <cell r="H160">
            <v>1.3213999999999999</v>
          </cell>
          <cell r="I160">
            <v>301.90706826093538</v>
          </cell>
          <cell r="J160">
            <v>24330.45</v>
          </cell>
          <cell r="K160">
            <v>20533.560000000001</v>
          </cell>
          <cell r="L160">
            <v>1233</v>
          </cell>
          <cell r="M160">
            <v>5807.96</v>
          </cell>
          <cell r="N160">
            <v>6964.16</v>
          </cell>
          <cell r="O160">
            <v>3858.05</v>
          </cell>
          <cell r="P160">
            <v>10285.879999999999</v>
          </cell>
        </row>
        <row r="161">
          <cell r="B161">
            <v>40528</v>
          </cell>
          <cell r="C161">
            <v>40521</v>
          </cell>
          <cell r="D161">
            <v>40437</v>
          </cell>
          <cell r="E161">
            <v>40157</v>
          </cell>
          <cell r="F161">
            <v>337.98</v>
          </cell>
          <cell r="G161">
            <v>276.65600000000001</v>
          </cell>
          <cell r="H161">
            <v>1.3238000000000001</v>
          </cell>
          <cell r="I161">
            <v>303.62592536636953</v>
          </cell>
          <cell r="J161">
            <v>24172.01</v>
          </cell>
          <cell r="K161">
            <v>20366.62</v>
          </cell>
          <cell r="L161">
            <v>1242.8699999999999</v>
          </cell>
          <cell r="M161">
            <v>5881.12</v>
          </cell>
          <cell r="N161">
            <v>7024.4</v>
          </cell>
          <cell r="O161">
            <v>3888.36</v>
          </cell>
          <cell r="P161">
            <v>10311.290000000001</v>
          </cell>
        </row>
        <row r="162">
          <cell r="B162">
            <v>40535</v>
          </cell>
          <cell r="C162">
            <v>40528</v>
          </cell>
          <cell r="D162">
            <v>40444</v>
          </cell>
          <cell r="E162">
            <v>40164</v>
          </cell>
          <cell r="F162">
            <v>337.24</v>
          </cell>
          <cell r="G162">
            <v>278.57600000000002</v>
          </cell>
          <cell r="H162">
            <v>1.3064</v>
          </cell>
          <cell r="I162">
            <v>309.31567666870785</v>
          </cell>
          <cell r="J162">
            <v>24349.54</v>
          </cell>
          <cell r="K162">
            <v>20774.16</v>
          </cell>
          <cell r="L162">
            <v>1256.77</v>
          </cell>
          <cell r="M162">
            <v>5996.07</v>
          </cell>
          <cell r="N162">
            <v>7057.69</v>
          </cell>
          <cell r="O162">
            <v>3911.32</v>
          </cell>
          <cell r="P162">
            <v>10346.48</v>
          </cell>
        </row>
        <row r="163">
          <cell r="B163">
            <v>40542</v>
          </cell>
          <cell r="C163">
            <v>40535</v>
          </cell>
          <cell r="D163">
            <v>40451</v>
          </cell>
          <cell r="E163">
            <v>40177</v>
          </cell>
          <cell r="F163">
            <v>334.79</v>
          </cell>
          <cell r="G163">
            <v>281.89100000000002</v>
          </cell>
          <cell r="H163">
            <v>1.3280000000000001</v>
          </cell>
          <cell r="I163">
            <v>303.96084337349396</v>
          </cell>
          <cell r="J163">
            <v>24113.67</v>
          </cell>
          <cell r="K163">
            <v>20173.29</v>
          </cell>
          <cell r="L163">
            <v>1257.8800000000001</v>
          </cell>
          <cell r="M163">
            <v>5971.01</v>
          </cell>
          <cell r="N163">
            <v>6914.19</v>
          </cell>
          <cell r="O163">
            <v>3850.76</v>
          </cell>
          <cell r="P163">
            <v>10228.92</v>
          </cell>
        </row>
        <row r="164">
          <cell r="B164">
            <v>40549</v>
          </cell>
          <cell r="C164">
            <v>40542</v>
          </cell>
          <cell r="D164">
            <v>40458</v>
          </cell>
          <cell r="E164">
            <v>40185</v>
          </cell>
          <cell r="F164">
            <v>336.14</v>
          </cell>
          <cell r="G164">
            <v>278.22000000000003</v>
          </cell>
          <cell r="H164">
            <v>1.3090999999999999</v>
          </cell>
          <cell r="I164">
            <v>307.51661446795509</v>
          </cell>
          <cell r="J164">
            <v>24177.24</v>
          </cell>
          <cell r="K164">
            <v>20637.39</v>
          </cell>
          <cell r="L164">
            <v>1273.8499999999999</v>
          </cell>
          <cell r="M164">
            <v>6019.51</v>
          </cell>
          <cell r="N164">
            <v>6981.39</v>
          </cell>
          <cell r="O164">
            <v>3904.42</v>
          </cell>
          <cell r="P164">
            <v>10529.76</v>
          </cell>
        </row>
        <row r="165">
          <cell r="B165">
            <v>40556</v>
          </cell>
          <cell r="C165">
            <v>40549</v>
          </cell>
          <cell r="D165">
            <v>40465</v>
          </cell>
          <cell r="E165">
            <v>40192</v>
          </cell>
          <cell r="F165">
            <v>337.35</v>
          </cell>
          <cell r="G165">
            <v>281.33499999999998</v>
          </cell>
          <cell r="H165">
            <v>1.3199000000000001</v>
          </cell>
          <cell r="I165">
            <v>315.03901810743236</v>
          </cell>
          <cell r="J165">
            <v>24600.959999999999</v>
          </cell>
          <cell r="K165">
            <v>21308.13</v>
          </cell>
          <cell r="L165">
            <v>1283.76</v>
          </cell>
          <cell r="M165">
            <v>6023.88</v>
          </cell>
          <cell r="N165">
            <v>7075.11</v>
          </cell>
          <cell r="O165">
            <v>3974.83</v>
          </cell>
          <cell r="P165">
            <v>10589.76</v>
          </cell>
        </row>
        <row r="166">
          <cell r="B166">
            <v>40563</v>
          </cell>
          <cell r="C166">
            <v>40556</v>
          </cell>
          <cell r="D166">
            <v>40472</v>
          </cell>
          <cell r="E166">
            <v>40199</v>
          </cell>
          <cell r="F166">
            <v>337.45</v>
          </cell>
          <cell r="G166">
            <v>281.58999999999997</v>
          </cell>
          <cell r="H166">
            <v>1.3472</v>
          </cell>
          <cell r="I166">
            <v>305.7378266033254</v>
          </cell>
          <cell r="J166">
            <v>24775.46</v>
          </cell>
          <cell r="K166">
            <v>21792.28</v>
          </cell>
          <cell r="L166">
            <v>1280.26</v>
          </cell>
          <cell r="M166">
            <v>5867.91</v>
          </cell>
          <cell r="N166">
            <v>7024.27</v>
          </cell>
          <cell r="O166">
            <v>3964.84</v>
          </cell>
          <cell r="P166">
            <v>10437.31</v>
          </cell>
        </row>
        <row r="167">
          <cell r="B167">
            <v>40570</v>
          </cell>
          <cell r="C167">
            <v>40563</v>
          </cell>
          <cell r="D167">
            <v>40480</v>
          </cell>
          <cell r="E167">
            <v>40207</v>
          </cell>
          <cell r="F167">
            <v>337.71</v>
          </cell>
          <cell r="G167">
            <v>282.68</v>
          </cell>
          <cell r="H167">
            <v>1.3715999999999999</v>
          </cell>
          <cell r="I167">
            <v>311.49752114319045</v>
          </cell>
          <cell r="J167">
            <v>25097.06</v>
          </cell>
          <cell r="K167">
            <v>22311.52</v>
          </cell>
          <cell r="L167">
            <v>1299.54</v>
          </cell>
          <cell r="M167">
            <v>5965.08</v>
          </cell>
          <cell r="N167">
            <v>7155.58</v>
          </cell>
          <cell r="O167">
            <v>4059.57</v>
          </cell>
          <cell r="P167">
            <v>10478.66</v>
          </cell>
        </row>
        <row r="168">
          <cell r="B168">
            <v>40574</v>
          </cell>
          <cell r="C168">
            <v>40570</v>
          </cell>
          <cell r="D168">
            <v>40480</v>
          </cell>
          <cell r="E168">
            <v>40207</v>
          </cell>
          <cell r="F168">
            <v>337.8</v>
          </cell>
          <cell r="G168">
            <v>284.08</v>
          </cell>
          <cell r="H168">
            <v>1.3692</v>
          </cell>
          <cell r="I168">
            <v>308.39906514753142</v>
          </cell>
          <cell r="J168">
            <v>24894.85</v>
          </cell>
          <cell r="K168">
            <v>22050.45</v>
          </cell>
          <cell r="L168">
            <v>1286.1199999999999</v>
          </cell>
          <cell r="M168">
            <v>5862.94</v>
          </cell>
          <cell r="N168">
            <v>7077.48</v>
          </cell>
          <cell r="O168">
            <v>4005.5</v>
          </cell>
          <cell r="P168">
            <v>10237.92</v>
          </cell>
        </row>
        <row r="169">
          <cell r="B169">
            <v>40577</v>
          </cell>
          <cell r="C169">
            <v>40574</v>
          </cell>
          <cell r="D169">
            <v>40486</v>
          </cell>
          <cell r="E169">
            <v>40213</v>
          </cell>
          <cell r="F169" t="str">
            <v>OGGI</v>
          </cell>
          <cell r="G169">
            <v>285.69</v>
          </cell>
          <cell r="H169">
            <v>1.3745000000000001</v>
          </cell>
          <cell r="I169">
            <v>310.84030556566023</v>
          </cell>
          <cell r="J169">
            <v>24986.36</v>
          </cell>
          <cell r="K169">
            <v>22443.86</v>
          </cell>
          <cell r="L169">
            <v>1307.0999999999999</v>
          </cell>
          <cell r="M169">
            <v>5983.34</v>
          </cell>
          <cell r="N169">
            <v>7193.68</v>
          </cell>
          <cell r="O169">
            <v>4036.59</v>
          </cell>
          <cell r="P169">
            <v>10431.36</v>
          </cell>
        </row>
        <row r="170">
          <cell r="B170">
            <v>40584</v>
          </cell>
          <cell r="C170">
            <v>40577</v>
          </cell>
          <cell r="D170">
            <v>40493</v>
          </cell>
          <cell r="E170">
            <v>40220</v>
          </cell>
          <cell r="F170">
            <v>237.5</v>
          </cell>
          <cell r="G170">
            <v>279.84300000000002</v>
          </cell>
          <cell r="H170">
            <v>1.3604000000000001</v>
          </cell>
          <cell r="I170">
            <v>315.04704498676858</v>
          </cell>
          <cell r="J170">
            <v>25172.33</v>
          </cell>
          <cell r="K170">
            <v>22596.79</v>
          </cell>
          <cell r="L170">
            <v>1321.87</v>
          </cell>
          <cell r="M170">
            <v>6020.01</v>
          </cell>
          <cell r="N170">
            <v>7340.28</v>
          </cell>
          <cell r="O170">
            <v>4095.14</v>
          </cell>
          <cell r="P170">
            <v>10605.65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lab_result"/>
      <sheetName val="opt"/>
      <sheetName val="vami-stats"/>
      <sheetName val="Beta_rolling"/>
    </sheetNames>
    <sheetDataSet>
      <sheetData sheetId="0"/>
      <sheetData sheetId="1">
        <row r="3">
          <cell r="I3">
            <v>2E-3</v>
          </cell>
        </row>
      </sheetData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ndimenti Attesi"/>
      <sheetName val="statistiche_bloomberg"/>
    </sheetNames>
    <sheetDataSet>
      <sheetData sheetId="0">
        <row r="3">
          <cell r="B3" t="str">
            <v>Glob Equity</v>
          </cell>
          <cell r="C3">
            <v>7.9646875000000006E-2</v>
          </cell>
        </row>
        <row r="4">
          <cell r="B4" t="str">
            <v>Lead Glob Small Cap</v>
          </cell>
          <cell r="C4">
            <v>4.3312500000000004E-2</v>
          </cell>
        </row>
        <row r="5">
          <cell r="B5" t="str">
            <v>Glob World</v>
          </cell>
          <cell r="C5">
            <v>8.2687500000000011E-2</v>
          </cell>
        </row>
        <row r="6">
          <cell r="B6" t="str">
            <v>Fds Europa</v>
          </cell>
          <cell r="C6">
            <v>6.0000000000000012E-2</v>
          </cell>
        </row>
        <row r="7">
          <cell r="B7" t="str">
            <v>Talento Europa</v>
          </cell>
          <cell r="C7">
            <v>5.5000000000000007E-2</v>
          </cell>
        </row>
        <row r="8">
          <cell r="B8" t="str">
            <v>Glob Bcm Stock Picker</v>
          </cell>
          <cell r="C8">
            <v>5.8625000000000003E-2</v>
          </cell>
        </row>
        <row r="9">
          <cell r="B9" t="str">
            <v>Fds Italia</v>
          </cell>
          <cell r="C9">
            <v>0.08</v>
          </cell>
        </row>
        <row r="10">
          <cell r="B10" t="str">
            <v>Glob Italy</v>
          </cell>
          <cell r="C10">
            <v>7.0000000000000007E-2</v>
          </cell>
        </row>
        <row r="11">
          <cell r="B11" t="str">
            <v>Fds PMI</v>
          </cell>
          <cell r="C11">
            <v>8.5000000000000006E-2</v>
          </cell>
        </row>
        <row r="12">
          <cell r="B12" t="str">
            <v>Fds America</v>
          </cell>
          <cell r="C12">
            <v>7.0000000000000007E-2</v>
          </cell>
        </row>
        <row r="13">
          <cell r="B13" t="str">
            <v>Talento America</v>
          </cell>
          <cell r="C13">
            <v>5.5000000000000007E-2</v>
          </cell>
        </row>
        <row r="14">
          <cell r="B14" t="str">
            <v>Glob Usa</v>
          </cell>
          <cell r="C14">
            <v>8.3125000000000018E-2</v>
          </cell>
        </row>
        <row r="15">
          <cell r="B15" t="str">
            <v>Fds Oriente</v>
          </cell>
          <cell r="C15">
            <v>0.08</v>
          </cell>
        </row>
        <row r="16">
          <cell r="B16" t="str">
            <v>Glob Japan</v>
          </cell>
          <cell r="C16">
            <v>3.5000000000000003E-2</v>
          </cell>
        </row>
        <row r="17">
          <cell r="B17" t="str">
            <v>Talento Asia</v>
          </cell>
          <cell r="C17">
            <v>6.5000000000000002E-2</v>
          </cell>
        </row>
        <row r="18">
          <cell r="B18" t="str">
            <v>Lead Emrg Market</v>
          </cell>
          <cell r="C18">
            <v>7.0000000000000007E-2</v>
          </cell>
        </row>
        <row r="19">
          <cell r="B19" t="str">
            <v>STRATEGIE TASSI</v>
          </cell>
        </row>
        <row r="20">
          <cell r="B20" t="str">
            <v>Fds Cash</v>
          </cell>
          <cell r="C20">
            <v>8.0000000000000002E-3</v>
          </cell>
        </row>
        <row r="21">
          <cell r="B21" t="str">
            <v>Lead Global Asset</v>
          </cell>
          <cell r="C21">
            <v>1.0937499999999999E-2</v>
          </cell>
        </row>
        <row r="22">
          <cell r="B22" t="str">
            <v>Fds Reddito</v>
          </cell>
          <cell r="C22">
            <v>-3.0000000000000009E-3</v>
          </cell>
        </row>
        <row r="23">
          <cell r="B23" t="str">
            <v>Fds Euro</v>
          </cell>
          <cell r="C23">
            <v>-9.2999999999999975E-3</v>
          </cell>
        </row>
        <row r="24">
          <cell r="B24" t="str">
            <v>Glob Yield</v>
          </cell>
          <cell r="C24">
            <v>-1.6625000000000006E-3</v>
          </cell>
        </row>
        <row r="25">
          <cell r="B25" t="str">
            <v>Glob Bond</v>
          </cell>
          <cell r="C25">
            <v>3.4999999999999988E-3</v>
          </cell>
        </row>
        <row r="26">
          <cell r="B26" t="str">
            <v>Fds Internazionale</v>
          </cell>
          <cell r="C26">
            <v>-1.6799999999999995E-2</v>
          </cell>
        </row>
        <row r="27">
          <cell r="B27" t="str">
            <v>Fds Dollaro</v>
          </cell>
          <cell r="C27">
            <v>-3.2000000000000001E-2</v>
          </cell>
        </row>
        <row r="28">
          <cell r="B28" t="str">
            <v>Fds</v>
          </cell>
          <cell r="C28">
            <v>0</v>
          </cell>
        </row>
        <row r="29">
          <cell r="B29" t="str">
            <v>FLESSIBILI</v>
          </cell>
        </row>
        <row r="30">
          <cell r="B30" t="str">
            <v>Fds 2000</v>
          </cell>
          <cell r="C30">
            <v>4.3900000000000008E-2</v>
          </cell>
        </row>
        <row r="31">
          <cell r="B31" t="str">
            <v>Glob Bcm Conv</v>
          </cell>
          <cell r="C31">
            <v>4.1562500000000002E-2</v>
          </cell>
        </row>
        <row r="32">
          <cell r="B32" t="str">
            <v>Glob Bcm Multi Asset</v>
          </cell>
          <cell r="C32">
            <v>6.6718749999999993E-2</v>
          </cell>
        </row>
        <row r="33">
          <cell r="B33" t="str">
            <v>Glob Opportunity</v>
          </cell>
          <cell r="C33">
            <v>5.1625000000000004E-2</v>
          </cell>
        </row>
        <row r="34">
          <cell r="B34" t="str">
            <v>Lead Flex</v>
          </cell>
          <cell r="C34">
            <v>5.6875000000000002E-2</v>
          </cell>
        </row>
        <row r="35">
          <cell r="B35" t="str">
            <v>Glob Italy Mkt Neutral</v>
          </cell>
          <cell r="C35">
            <v>3.26375E-2</v>
          </cell>
        </row>
        <row r="36">
          <cell r="B36" t="str">
            <v>HEDGE FUND</v>
          </cell>
        </row>
        <row r="37">
          <cell r="B37" t="str">
            <v>Hedge Ilex</v>
          </cell>
          <cell r="C37">
            <v>2.8900000000000002E-2</v>
          </cell>
        </row>
        <row r="38">
          <cell r="B38" t="str">
            <v>Hedge Larix</v>
          </cell>
          <cell r="C38">
            <v>2.8900000000000002E-2</v>
          </cell>
        </row>
        <row r="39">
          <cell r="B39" t="str">
            <v>Hedge Robur</v>
          </cell>
          <cell r="C39">
            <v>2.8900000000000002E-2</v>
          </cell>
        </row>
        <row r="40">
          <cell r="B40" t="str">
            <v>Hedge Celtis</v>
          </cell>
          <cell r="C40">
            <v>4.4750000000000005E-2</v>
          </cell>
        </row>
        <row r="41">
          <cell r="B41" t="str">
            <v>Hedge Low</v>
          </cell>
          <cell r="C41">
            <v>2.0950000000000003E-2</v>
          </cell>
        </row>
        <row r="42">
          <cell r="B42" t="str">
            <v>Hedge Medium</v>
          </cell>
          <cell r="C42">
            <v>2.8900000000000002E-2</v>
          </cell>
        </row>
        <row r="43">
          <cell r="B43" t="str">
            <v>Hedge High</v>
          </cell>
          <cell r="C43">
            <v>6.0650000000000009E-2</v>
          </cell>
        </row>
        <row r="44">
          <cell r="B44" t="str">
            <v>Hedgersel</v>
          </cell>
          <cell r="C44">
            <v>2.1949999999999997E-2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1ADCD9B-54BB-9847-AF57-7F831F8CF962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43f8b61b-1e27-4bd2-9e1a-27d01cbb1f96&quot;"/>
  </we:properties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6"/>
  <dimension ref="A1:J668"/>
  <sheetViews>
    <sheetView tabSelected="1" zoomScaleNormal="50" zoomScaleSheetLayoutView="5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A9" sqref="A9"/>
    </sheetView>
  </sheetViews>
  <sheetFormatPr baseColWidth="10" defaultColWidth="33.33203125" defaultRowHeight="13"/>
  <sheetData>
    <row r="1" spans="1:10" ht="15">
      <c r="A1" s="127"/>
      <c r="B1" s="127"/>
      <c r="C1" s="127"/>
      <c r="D1" s="127"/>
      <c r="E1" s="127"/>
      <c r="F1" s="127"/>
      <c r="G1" s="127"/>
      <c r="H1" s="127"/>
      <c r="I1" s="127"/>
      <c r="J1" s="127"/>
    </row>
    <row r="2" spans="1:10">
      <c r="A2" s="128"/>
      <c r="B2" s="129"/>
      <c r="C2" s="129"/>
      <c r="D2" s="129"/>
      <c r="E2" s="129"/>
      <c r="F2" s="129"/>
      <c r="G2" s="129"/>
      <c r="H2" s="129"/>
      <c r="I2" s="129"/>
      <c r="J2" s="129"/>
    </row>
    <row r="3" spans="1:10">
      <c r="A3" s="128"/>
      <c r="B3" s="129"/>
      <c r="C3" s="129"/>
      <c r="D3" s="129"/>
      <c r="E3" s="129"/>
      <c r="F3" s="129"/>
      <c r="G3" s="129"/>
      <c r="H3" s="129"/>
      <c r="I3" s="129"/>
      <c r="J3" s="129"/>
    </row>
    <row r="4" spans="1:10">
      <c r="A4" s="128"/>
      <c r="B4" s="129"/>
      <c r="C4" s="129"/>
      <c r="D4" s="129"/>
      <c r="E4" s="129"/>
      <c r="F4" s="129"/>
      <c r="G4" s="129"/>
      <c r="H4" s="129"/>
      <c r="I4" s="129"/>
      <c r="J4" s="129"/>
    </row>
    <row r="5" spans="1:10">
      <c r="A5" s="128"/>
      <c r="B5" s="129"/>
      <c r="C5" s="129"/>
      <c r="D5" s="129"/>
      <c r="E5" s="129"/>
      <c r="F5" s="129"/>
      <c r="G5" s="129"/>
      <c r="H5" s="129"/>
      <c r="I5" s="129"/>
      <c r="J5" s="129"/>
    </row>
    <row r="6" spans="1:10">
      <c r="A6" s="128"/>
      <c r="B6" s="129"/>
      <c r="C6" s="129"/>
      <c r="D6" s="129"/>
      <c r="E6" s="129"/>
      <c r="F6" s="129"/>
      <c r="G6" s="129"/>
      <c r="H6" s="129"/>
      <c r="I6" s="129"/>
      <c r="J6" s="129"/>
    </row>
    <row r="7" spans="1:10">
      <c r="A7" s="128"/>
      <c r="B7" s="129"/>
      <c r="C7" s="129"/>
      <c r="D7" s="129"/>
      <c r="E7" s="129"/>
      <c r="F7" s="129"/>
      <c r="G7" s="129"/>
      <c r="H7" s="129"/>
      <c r="I7" s="129"/>
      <c r="J7" s="129"/>
    </row>
    <row r="8" spans="1:10">
      <c r="A8" s="128"/>
      <c r="B8" s="129"/>
      <c r="C8" s="129"/>
      <c r="D8" s="129"/>
      <c r="E8" s="129"/>
      <c r="F8" s="129"/>
      <c r="G8" s="129"/>
      <c r="H8" s="129"/>
      <c r="I8" s="129"/>
      <c r="J8" s="129"/>
    </row>
    <row r="9" spans="1:10">
      <c r="A9" s="128"/>
      <c r="B9" s="129"/>
      <c r="C9" s="129"/>
      <c r="D9" s="129"/>
      <c r="E9" s="129"/>
      <c r="F9" s="129"/>
      <c r="G9" s="129"/>
      <c r="H9" s="129"/>
      <c r="I9" s="129"/>
      <c r="J9" s="129"/>
    </row>
    <row r="10" spans="1:10">
      <c r="A10" s="128"/>
      <c r="B10" s="129"/>
      <c r="C10" s="129"/>
      <c r="D10" s="129"/>
      <c r="E10" s="129"/>
      <c r="F10" s="129"/>
      <c r="G10" s="129"/>
      <c r="H10" s="129"/>
      <c r="I10" s="129"/>
      <c r="J10" s="129"/>
    </row>
    <row r="11" spans="1:10">
      <c r="A11" s="128"/>
      <c r="B11" s="129"/>
      <c r="C11" s="129"/>
      <c r="D11" s="129"/>
      <c r="E11" s="129"/>
      <c r="F11" s="129"/>
      <c r="G11" s="129"/>
      <c r="H11" s="129"/>
      <c r="I11" s="129"/>
      <c r="J11" s="129"/>
    </row>
    <row r="12" spans="1:10">
      <c r="A12" s="128"/>
      <c r="B12" s="129"/>
      <c r="C12" s="129"/>
      <c r="D12" s="129"/>
      <c r="E12" s="129"/>
      <c r="F12" s="129"/>
      <c r="G12" s="129"/>
      <c r="H12" s="129"/>
      <c r="I12" s="129"/>
      <c r="J12" s="129"/>
    </row>
    <row r="13" spans="1:10">
      <c r="A13" s="128"/>
      <c r="B13" s="129"/>
      <c r="C13" s="129"/>
      <c r="D13" s="129"/>
      <c r="E13" s="129"/>
      <c r="F13" s="129"/>
      <c r="G13" s="129"/>
      <c r="H13" s="129"/>
      <c r="I13" s="129"/>
      <c r="J13" s="129"/>
    </row>
    <row r="14" spans="1:10">
      <c r="A14" s="128"/>
      <c r="B14" s="129"/>
      <c r="C14" s="129"/>
      <c r="D14" s="129"/>
      <c r="E14" s="129"/>
      <c r="F14" s="129"/>
      <c r="G14" s="129"/>
      <c r="H14" s="129"/>
      <c r="I14" s="129"/>
      <c r="J14" s="129"/>
    </row>
    <row r="15" spans="1:10">
      <c r="A15" s="128"/>
      <c r="B15" s="129"/>
      <c r="C15" s="129"/>
      <c r="D15" s="129"/>
      <c r="E15" s="129"/>
      <c r="F15" s="129"/>
      <c r="G15" s="129"/>
      <c r="H15" s="129"/>
      <c r="I15" s="129"/>
      <c r="J15" s="129"/>
    </row>
    <row r="16" spans="1:10">
      <c r="A16" s="128"/>
      <c r="B16" s="129"/>
      <c r="C16" s="129"/>
      <c r="D16" s="129"/>
      <c r="E16" s="129"/>
      <c r="F16" s="129"/>
      <c r="G16" s="129"/>
      <c r="H16" s="129"/>
      <c r="I16" s="129"/>
      <c r="J16" s="129"/>
    </row>
    <row r="17" spans="1:10">
      <c r="A17" s="128"/>
      <c r="B17" s="129"/>
      <c r="C17" s="129"/>
      <c r="D17" s="129"/>
      <c r="E17" s="129"/>
      <c r="F17" s="129"/>
      <c r="G17" s="129"/>
      <c r="H17" s="129"/>
      <c r="I17" s="129"/>
      <c r="J17" s="129"/>
    </row>
    <row r="18" spans="1:10">
      <c r="A18" s="128"/>
      <c r="B18" s="129"/>
      <c r="C18" s="129"/>
      <c r="D18" s="129"/>
      <c r="E18" s="129"/>
      <c r="F18" s="129"/>
      <c r="G18" s="129"/>
      <c r="H18" s="129"/>
      <c r="I18" s="129"/>
      <c r="J18" s="129"/>
    </row>
    <row r="19" spans="1:10">
      <c r="A19" s="128"/>
      <c r="B19" s="129"/>
      <c r="C19" s="129"/>
      <c r="D19" s="129"/>
      <c r="E19" s="129"/>
      <c r="F19" s="129"/>
      <c r="G19" s="129"/>
      <c r="H19" s="129"/>
      <c r="I19" s="129"/>
      <c r="J19" s="129"/>
    </row>
    <row r="20" spans="1:10">
      <c r="A20" s="128"/>
      <c r="B20" s="129"/>
      <c r="C20" s="129"/>
      <c r="D20" s="129"/>
      <c r="E20" s="129"/>
      <c r="F20" s="129"/>
      <c r="G20" s="129"/>
      <c r="H20" s="129"/>
      <c r="I20" s="129"/>
      <c r="J20" s="129"/>
    </row>
    <row r="21" spans="1:10">
      <c r="A21" s="128"/>
      <c r="B21" s="129"/>
      <c r="C21" s="129"/>
      <c r="D21" s="129"/>
      <c r="E21" s="129"/>
      <c r="F21" s="129"/>
      <c r="G21" s="129"/>
      <c r="H21" s="129"/>
      <c r="I21" s="129"/>
      <c r="J21" s="129"/>
    </row>
    <row r="22" spans="1:10">
      <c r="A22" s="128"/>
      <c r="B22" s="129"/>
      <c r="C22" s="129"/>
      <c r="D22" s="129"/>
      <c r="E22" s="129"/>
      <c r="F22" s="129"/>
      <c r="G22" s="129"/>
      <c r="H22" s="129"/>
      <c r="I22" s="129"/>
      <c r="J22" s="129"/>
    </row>
    <row r="23" spans="1:10">
      <c r="A23" s="128"/>
      <c r="B23" s="129"/>
      <c r="C23" s="129"/>
      <c r="D23" s="129"/>
      <c r="E23" s="129"/>
      <c r="F23" s="129"/>
      <c r="G23" s="129"/>
      <c r="H23" s="129"/>
      <c r="I23" s="129"/>
      <c r="J23" s="129"/>
    </row>
    <row r="24" spans="1:10">
      <c r="A24" s="128"/>
      <c r="B24" s="129"/>
      <c r="C24" s="129"/>
      <c r="D24" s="129"/>
      <c r="E24" s="129"/>
      <c r="F24" s="129"/>
      <c r="G24" s="129"/>
      <c r="H24" s="129"/>
      <c r="I24" s="129"/>
      <c r="J24" s="129"/>
    </row>
    <row r="25" spans="1:10">
      <c r="A25" s="128"/>
      <c r="B25" s="129"/>
      <c r="C25" s="129"/>
      <c r="D25" s="129"/>
      <c r="E25" s="129"/>
      <c r="F25" s="129"/>
      <c r="G25" s="129"/>
      <c r="H25" s="129"/>
      <c r="I25" s="129"/>
      <c r="J25" s="129"/>
    </row>
    <row r="26" spans="1:10">
      <c r="A26" s="128"/>
      <c r="B26" s="129"/>
      <c r="C26" s="129"/>
      <c r="D26" s="129"/>
      <c r="E26" s="129"/>
      <c r="F26" s="129"/>
      <c r="G26" s="129"/>
      <c r="H26" s="129"/>
      <c r="I26" s="129"/>
      <c r="J26" s="129"/>
    </row>
    <row r="27" spans="1:10">
      <c r="A27" s="128"/>
      <c r="B27" s="129"/>
      <c r="C27" s="129"/>
      <c r="D27" s="129"/>
      <c r="E27" s="129"/>
      <c r="F27" s="129"/>
      <c r="G27" s="129"/>
      <c r="H27" s="129"/>
      <c r="I27" s="129"/>
      <c r="J27" s="129"/>
    </row>
    <row r="28" spans="1:10">
      <c r="A28" s="128"/>
      <c r="B28" s="129"/>
      <c r="C28" s="129"/>
      <c r="D28" s="129"/>
      <c r="E28" s="129"/>
      <c r="F28" s="129"/>
      <c r="G28" s="129"/>
      <c r="H28" s="129"/>
      <c r="I28" s="129"/>
      <c r="J28" s="129"/>
    </row>
    <row r="29" spans="1:10">
      <c r="A29" s="128"/>
      <c r="B29" s="129"/>
      <c r="C29" s="129"/>
      <c r="D29" s="129"/>
      <c r="E29" s="129"/>
      <c r="F29" s="129"/>
      <c r="G29" s="129"/>
      <c r="H29" s="129"/>
      <c r="I29" s="129"/>
      <c r="J29" s="129"/>
    </row>
    <row r="30" spans="1:10">
      <c r="A30" s="128"/>
      <c r="B30" s="129"/>
      <c r="C30" s="129"/>
      <c r="D30" s="129"/>
      <c r="E30" s="129"/>
      <c r="F30" s="129"/>
      <c r="G30" s="129"/>
      <c r="H30" s="129"/>
      <c r="I30" s="129"/>
      <c r="J30" s="129"/>
    </row>
    <row r="31" spans="1:10">
      <c r="A31" s="128"/>
      <c r="B31" s="129"/>
      <c r="C31" s="129"/>
      <c r="D31" s="129"/>
      <c r="E31" s="129"/>
      <c r="F31" s="129"/>
      <c r="G31" s="129"/>
      <c r="H31" s="129"/>
      <c r="I31" s="129"/>
      <c r="J31" s="129"/>
    </row>
    <row r="32" spans="1:10">
      <c r="A32" s="128"/>
      <c r="B32" s="129"/>
      <c r="C32" s="129"/>
      <c r="D32" s="129"/>
      <c r="E32" s="129"/>
      <c r="F32" s="129"/>
      <c r="G32" s="129"/>
      <c r="H32" s="129"/>
      <c r="I32" s="129"/>
      <c r="J32" s="129"/>
    </row>
    <row r="33" spans="1:10">
      <c r="A33" s="128"/>
      <c r="B33" s="129"/>
      <c r="C33" s="129"/>
      <c r="D33" s="129"/>
      <c r="E33" s="129"/>
      <c r="F33" s="129"/>
      <c r="G33" s="129"/>
      <c r="H33" s="129"/>
      <c r="I33" s="129"/>
      <c r="J33" s="129"/>
    </row>
    <row r="34" spans="1:10">
      <c r="A34" s="128"/>
      <c r="B34" s="129"/>
      <c r="C34" s="129"/>
      <c r="D34" s="129"/>
      <c r="E34" s="129"/>
      <c r="F34" s="129"/>
      <c r="G34" s="129"/>
      <c r="H34" s="129"/>
      <c r="I34" s="129"/>
      <c r="J34" s="129"/>
    </row>
    <row r="35" spans="1:10">
      <c r="A35" s="128"/>
      <c r="B35" s="129"/>
      <c r="C35" s="129"/>
      <c r="D35" s="129"/>
      <c r="E35" s="129"/>
      <c r="F35" s="129"/>
      <c r="G35" s="129"/>
      <c r="H35" s="129"/>
      <c r="I35" s="129"/>
      <c r="J35" s="129"/>
    </row>
    <row r="36" spans="1:10">
      <c r="A36" s="128"/>
      <c r="B36" s="129"/>
      <c r="C36" s="129"/>
      <c r="D36" s="129"/>
      <c r="E36" s="129"/>
      <c r="F36" s="129"/>
      <c r="G36" s="129"/>
      <c r="H36" s="129"/>
      <c r="I36" s="129"/>
      <c r="J36" s="129"/>
    </row>
    <row r="37" spans="1:10">
      <c r="A37" s="128"/>
      <c r="B37" s="129"/>
      <c r="C37" s="129"/>
      <c r="D37" s="129"/>
      <c r="E37" s="129"/>
      <c r="F37" s="129"/>
      <c r="G37" s="129"/>
      <c r="H37" s="129"/>
      <c r="I37" s="129"/>
      <c r="J37" s="129"/>
    </row>
    <row r="38" spans="1:10">
      <c r="A38" s="128"/>
      <c r="B38" s="129"/>
      <c r="C38" s="129"/>
      <c r="D38" s="129"/>
      <c r="E38" s="129"/>
      <c r="F38" s="129"/>
      <c r="G38" s="129"/>
      <c r="H38" s="129"/>
      <c r="I38" s="129"/>
      <c r="J38" s="129"/>
    </row>
    <row r="39" spans="1:10">
      <c r="A39" s="128"/>
      <c r="B39" s="129"/>
      <c r="C39" s="129"/>
      <c r="D39" s="129"/>
      <c r="E39" s="129"/>
      <c r="F39" s="129"/>
      <c r="G39" s="129"/>
      <c r="H39" s="129"/>
      <c r="I39" s="129"/>
      <c r="J39" s="129"/>
    </row>
    <row r="40" spans="1:10">
      <c r="A40" s="128"/>
      <c r="B40" s="129"/>
      <c r="C40" s="129"/>
      <c r="D40" s="129"/>
      <c r="E40" s="129"/>
      <c r="F40" s="129"/>
      <c r="G40" s="129"/>
      <c r="H40" s="129"/>
      <c r="I40" s="129"/>
      <c r="J40" s="129"/>
    </row>
    <row r="41" spans="1:10">
      <c r="A41" s="128"/>
      <c r="B41" s="129"/>
      <c r="C41" s="129"/>
      <c r="D41" s="129"/>
      <c r="E41" s="129"/>
      <c r="F41" s="129"/>
      <c r="G41" s="129"/>
      <c r="H41" s="129"/>
      <c r="I41" s="129"/>
      <c r="J41" s="129"/>
    </row>
    <row r="42" spans="1:10">
      <c r="A42" s="128"/>
      <c r="B42" s="129"/>
      <c r="C42" s="129"/>
      <c r="D42" s="129"/>
      <c r="E42" s="129"/>
      <c r="F42" s="129"/>
      <c r="G42" s="129"/>
      <c r="H42" s="129"/>
      <c r="I42" s="129"/>
      <c r="J42" s="129"/>
    </row>
    <row r="43" spans="1:10">
      <c r="A43" s="128"/>
      <c r="B43" s="129"/>
      <c r="C43" s="129"/>
      <c r="D43" s="129"/>
      <c r="E43" s="129"/>
      <c r="F43" s="129"/>
      <c r="G43" s="129"/>
      <c r="H43" s="129"/>
      <c r="I43" s="129"/>
      <c r="J43" s="129"/>
    </row>
    <row r="44" spans="1:10">
      <c r="A44" s="128"/>
      <c r="B44" s="129"/>
      <c r="C44" s="129"/>
      <c r="D44" s="129"/>
      <c r="E44" s="129"/>
      <c r="F44" s="129"/>
      <c r="G44" s="129"/>
      <c r="H44" s="129"/>
      <c r="I44" s="129"/>
      <c r="J44" s="129"/>
    </row>
    <row r="45" spans="1:10">
      <c r="A45" s="128"/>
      <c r="B45" s="129"/>
      <c r="C45" s="129"/>
      <c r="D45" s="129"/>
      <c r="E45" s="129"/>
      <c r="F45" s="129"/>
      <c r="G45" s="129"/>
      <c r="H45" s="129"/>
      <c r="I45" s="129"/>
      <c r="J45" s="129"/>
    </row>
    <row r="46" spans="1:10">
      <c r="A46" s="128"/>
      <c r="B46" s="129"/>
      <c r="C46" s="129"/>
      <c r="D46" s="129"/>
      <c r="E46" s="129"/>
      <c r="F46" s="129"/>
      <c r="G46" s="129"/>
      <c r="H46" s="129"/>
      <c r="I46" s="129"/>
      <c r="J46" s="129"/>
    </row>
    <row r="47" spans="1:10">
      <c r="A47" s="128"/>
      <c r="B47" s="129"/>
      <c r="C47" s="129"/>
      <c r="D47" s="129"/>
      <c r="E47" s="129"/>
      <c r="F47" s="129"/>
      <c r="G47" s="129"/>
      <c r="H47" s="129"/>
      <c r="I47" s="129"/>
      <c r="J47" s="129"/>
    </row>
    <row r="48" spans="1:10">
      <c r="A48" s="128"/>
      <c r="B48" s="129"/>
      <c r="C48" s="129"/>
      <c r="D48" s="129"/>
      <c r="E48" s="129"/>
      <c r="F48" s="129"/>
      <c r="G48" s="129"/>
      <c r="H48" s="129"/>
      <c r="I48" s="129"/>
      <c r="J48" s="129"/>
    </row>
    <row r="49" spans="1:10">
      <c r="A49" s="128"/>
      <c r="B49" s="129"/>
      <c r="C49" s="129"/>
      <c r="D49" s="129"/>
      <c r="E49" s="129"/>
      <c r="F49" s="129"/>
      <c r="G49" s="129"/>
      <c r="H49" s="129"/>
      <c r="I49" s="129"/>
      <c r="J49" s="129"/>
    </row>
    <row r="50" spans="1:10">
      <c r="A50" s="128"/>
      <c r="B50" s="129"/>
      <c r="C50" s="129"/>
      <c r="D50" s="129"/>
      <c r="E50" s="129"/>
      <c r="F50" s="129"/>
      <c r="G50" s="129"/>
      <c r="H50" s="129"/>
      <c r="I50" s="129"/>
      <c r="J50" s="129"/>
    </row>
    <row r="51" spans="1:10">
      <c r="A51" s="128"/>
      <c r="B51" s="129"/>
      <c r="C51" s="129"/>
      <c r="D51" s="129"/>
      <c r="E51" s="129"/>
      <c r="F51" s="129"/>
      <c r="G51" s="129"/>
      <c r="H51" s="129"/>
      <c r="I51" s="129"/>
      <c r="J51" s="129"/>
    </row>
    <row r="52" spans="1:10">
      <c r="A52" s="128"/>
      <c r="B52" s="129"/>
      <c r="C52" s="129"/>
      <c r="D52" s="129"/>
      <c r="E52" s="129"/>
      <c r="F52" s="129"/>
      <c r="G52" s="129"/>
      <c r="H52" s="129"/>
      <c r="I52" s="129"/>
      <c r="J52" s="129"/>
    </row>
    <row r="53" spans="1:10">
      <c r="A53" s="128"/>
      <c r="B53" s="129"/>
      <c r="C53" s="129"/>
      <c r="D53" s="129"/>
      <c r="E53" s="129"/>
      <c r="F53" s="129"/>
      <c r="G53" s="129"/>
      <c r="H53" s="129"/>
      <c r="I53" s="129"/>
      <c r="J53" s="129"/>
    </row>
    <row r="54" spans="1:10">
      <c r="A54" s="128"/>
      <c r="B54" s="129"/>
      <c r="C54" s="129"/>
      <c r="D54" s="129"/>
      <c r="E54" s="129"/>
      <c r="F54" s="129"/>
      <c r="G54" s="129"/>
      <c r="H54" s="129"/>
      <c r="I54" s="129"/>
      <c r="J54" s="129"/>
    </row>
    <row r="55" spans="1:10">
      <c r="A55" s="128"/>
      <c r="B55" s="129"/>
      <c r="C55" s="129"/>
      <c r="D55" s="129"/>
      <c r="E55" s="129"/>
      <c r="F55" s="129"/>
      <c r="G55" s="129"/>
      <c r="H55" s="129"/>
      <c r="I55" s="129"/>
      <c r="J55" s="129"/>
    </row>
    <row r="56" spans="1:10">
      <c r="A56" s="128"/>
      <c r="B56" s="129"/>
      <c r="C56" s="129"/>
      <c r="D56" s="129"/>
      <c r="E56" s="129"/>
      <c r="F56" s="129"/>
      <c r="G56" s="129"/>
      <c r="H56" s="129"/>
      <c r="I56" s="129"/>
      <c r="J56" s="129"/>
    </row>
    <row r="57" spans="1:10">
      <c r="A57" s="128"/>
      <c r="B57" s="129"/>
      <c r="C57" s="129"/>
      <c r="D57" s="129"/>
      <c r="E57" s="129"/>
      <c r="F57" s="129"/>
      <c r="G57" s="129"/>
      <c r="H57" s="129"/>
      <c r="I57" s="129"/>
      <c r="J57" s="129"/>
    </row>
    <row r="58" spans="1:10">
      <c r="A58" s="128"/>
      <c r="B58" s="129"/>
      <c r="C58" s="129"/>
      <c r="D58" s="129"/>
      <c r="E58" s="129"/>
      <c r="F58" s="129"/>
      <c r="G58" s="129"/>
      <c r="H58" s="129"/>
      <c r="I58" s="129"/>
      <c r="J58" s="129"/>
    </row>
    <row r="59" spans="1:10">
      <c r="A59" s="128"/>
      <c r="B59" s="129"/>
      <c r="C59" s="129"/>
      <c r="D59" s="129"/>
      <c r="E59" s="129"/>
      <c r="F59" s="129"/>
      <c r="G59" s="129"/>
      <c r="H59" s="129"/>
      <c r="I59" s="129"/>
      <c r="J59" s="129"/>
    </row>
    <row r="60" spans="1:10">
      <c r="A60" s="128"/>
      <c r="B60" s="129"/>
      <c r="C60" s="129"/>
      <c r="D60" s="129"/>
      <c r="E60" s="129"/>
      <c r="F60" s="129"/>
      <c r="G60" s="129"/>
      <c r="H60" s="129"/>
      <c r="I60" s="129"/>
      <c r="J60" s="129"/>
    </row>
    <row r="61" spans="1:10">
      <c r="A61" s="128"/>
      <c r="B61" s="129"/>
      <c r="C61" s="129"/>
      <c r="D61" s="129"/>
      <c r="E61" s="129"/>
      <c r="F61" s="129"/>
      <c r="G61" s="129"/>
      <c r="H61" s="129"/>
      <c r="I61" s="129"/>
      <c r="J61" s="129"/>
    </row>
    <row r="62" spans="1:10">
      <c r="A62" s="128"/>
      <c r="B62" s="129"/>
      <c r="C62" s="129"/>
      <c r="D62" s="129"/>
      <c r="E62" s="129"/>
      <c r="F62" s="129"/>
      <c r="G62" s="129"/>
      <c r="H62" s="129"/>
      <c r="I62" s="129"/>
      <c r="J62" s="129"/>
    </row>
    <row r="63" spans="1:10">
      <c r="A63" s="128"/>
      <c r="B63" s="129"/>
      <c r="C63" s="129"/>
      <c r="D63" s="129"/>
      <c r="E63" s="129"/>
      <c r="F63" s="129"/>
      <c r="G63" s="129"/>
      <c r="H63" s="129"/>
      <c r="I63" s="129"/>
      <c r="J63" s="129"/>
    </row>
    <row r="64" spans="1:10">
      <c r="A64" s="128"/>
      <c r="B64" s="129"/>
      <c r="C64" s="129"/>
      <c r="D64" s="129"/>
      <c r="E64" s="129"/>
      <c r="F64" s="129"/>
      <c r="G64" s="129"/>
      <c r="H64" s="129"/>
      <c r="I64" s="129"/>
      <c r="J64" s="129"/>
    </row>
    <row r="65" spans="1:10">
      <c r="A65" s="128"/>
      <c r="B65" s="129"/>
      <c r="C65" s="129"/>
      <c r="D65" s="129"/>
      <c r="E65" s="129"/>
      <c r="F65" s="129"/>
      <c r="G65" s="129"/>
      <c r="H65" s="129"/>
      <c r="I65" s="129"/>
      <c r="J65" s="129"/>
    </row>
    <row r="66" spans="1:10">
      <c r="A66" s="128"/>
      <c r="B66" s="129"/>
      <c r="C66" s="129"/>
      <c r="D66" s="129"/>
      <c r="E66" s="129"/>
      <c r="F66" s="129"/>
      <c r="G66" s="129"/>
      <c r="H66" s="129"/>
      <c r="I66" s="129"/>
      <c r="J66" s="129"/>
    </row>
    <row r="67" spans="1:10">
      <c r="A67" s="128"/>
      <c r="B67" s="129"/>
      <c r="C67" s="129"/>
      <c r="D67" s="129"/>
      <c r="E67" s="129"/>
      <c r="F67" s="129"/>
      <c r="G67" s="129"/>
      <c r="H67" s="129"/>
      <c r="I67" s="129"/>
      <c r="J67" s="129"/>
    </row>
    <row r="68" spans="1:10">
      <c r="A68" s="128"/>
      <c r="B68" s="129"/>
      <c r="C68" s="129"/>
      <c r="D68" s="129"/>
      <c r="E68" s="129"/>
      <c r="F68" s="129"/>
      <c r="G68" s="129"/>
      <c r="H68" s="129"/>
      <c r="I68" s="129"/>
      <c r="J68" s="129"/>
    </row>
    <row r="69" spans="1:10">
      <c r="A69" s="128"/>
      <c r="B69" s="129"/>
      <c r="C69" s="129"/>
      <c r="D69" s="129"/>
      <c r="E69" s="129"/>
      <c r="F69" s="129"/>
      <c r="G69" s="129"/>
      <c r="H69" s="129"/>
      <c r="I69" s="129"/>
      <c r="J69" s="129"/>
    </row>
    <row r="70" spans="1:10">
      <c r="A70" s="128"/>
      <c r="B70" s="129"/>
      <c r="C70" s="129"/>
      <c r="D70" s="129"/>
      <c r="E70" s="129"/>
      <c r="F70" s="129"/>
      <c r="G70" s="129"/>
      <c r="H70" s="129"/>
      <c r="I70" s="129"/>
      <c r="J70" s="129"/>
    </row>
    <row r="71" spans="1:10">
      <c r="A71" s="128"/>
      <c r="B71" s="129"/>
      <c r="C71" s="129"/>
      <c r="D71" s="129"/>
      <c r="E71" s="129"/>
      <c r="F71" s="129"/>
      <c r="G71" s="129"/>
      <c r="H71" s="129"/>
      <c r="I71" s="129"/>
      <c r="J71" s="129"/>
    </row>
    <row r="72" spans="1:10">
      <c r="A72" s="128"/>
      <c r="B72" s="129"/>
      <c r="C72" s="129"/>
      <c r="D72" s="129"/>
      <c r="E72" s="129"/>
      <c r="F72" s="129"/>
      <c r="G72" s="129"/>
      <c r="H72" s="129"/>
      <c r="I72" s="129"/>
      <c r="J72" s="129"/>
    </row>
    <row r="73" spans="1:10">
      <c r="A73" s="128"/>
      <c r="B73" s="129"/>
      <c r="C73" s="129"/>
      <c r="D73" s="129"/>
      <c r="E73" s="129"/>
      <c r="F73" s="129"/>
      <c r="G73" s="129"/>
      <c r="H73" s="129"/>
      <c r="I73" s="129"/>
      <c r="J73" s="129"/>
    </row>
    <row r="74" spans="1:10">
      <c r="A74" s="128"/>
      <c r="B74" s="129"/>
      <c r="C74" s="129"/>
      <c r="D74" s="129"/>
      <c r="E74" s="129"/>
      <c r="F74" s="129"/>
      <c r="G74" s="129"/>
      <c r="H74" s="129"/>
      <c r="I74" s="129"/>
      <c r="J74" s="129"/>
    </row>
    <row r="75" spans="1:10">
      <c r="A75" s="128"/>
      <c r="B75" s="129"/>
      <c r="C75" s="129"/>
      <c r="D75" s="129"/>
      <c r="E75" s="129"/>
      <c r="F75" s="129"/>
      <c r="G75" s="129"/>
      <c r="H75" s="129"/>
      <c r="I75" s="129"/>
      <c r="J75" s="129"/>
    </row>
    <row r="76" spans="1:10">
      <c r="A76" s="128"/>
      <c r="B76" s="129"/>
      <c r="C76" s="129"/>
      <c r="D76" s="129"/>
      <c r="E76" s="129"/>
      <c r="F76" s="129"/>
      <c r="G76" s="129"/>
      <c r="H76" s="129"/>
      <c r="I76" s="129"/>
      <c r="J76" s="129"/>
    </row>
    <row r="77" spans="1:10">
      <c r="A77" s="128"/>
      <c r="B77" s="129"/>
      <c r="C77" s="129"/>
      <c r="D77" s="129"/>
      <c r="E77" s="129"/>
      <c r="F77" s="129"/>
      <c r="G77" s="129"/>
      <c r="H77" s="129"/>
      <c r="I77" s="129"/>
      <c r="J77" s="129"/>
    </row>
    <row r="78" spans="1:10">
      <c r="A78" s="128"/>
      <c r="B78" s="129"/>
      <c r="C78" s="129"/>
      <c r="D78" s="129"/>
      <c r="E78" s="129"/>
      <c r="F78" s="129"/>
      <c r="G78" s="129"/>
      <c r="H78" s="129"/>
      <c r="I78" s="129"/>
      <c r="J78" s="129"/>
    </row>
    <row r="79" spans="1:10">
      <c r="A79" s="128"/>
      <c r="B79" s="129"/>
      <c r="C79" s="129"/>
      <c r="D79" s="129"/>
      <c r="E79" s="129"/>
      <c r="F79" s="129"/>
      <c r="G79" s="129"/>
      <c r="H79" s="129"/>
      <c r="I79" s="129"/>
      <c r="J79" s="129"/>
    </row>
    <row r="80" spans="1:10">
      <c r="A80" s="128"/>
      <c r="B80" s="129"/>
      <c r="C80" s="129"/>
      <c r="D80" s="129"/>
      <c r="E80" s="129"/>
      <c r="F80" s="129"/>
      <c r="G80" s="129"/>
      <c r="H80" s="129"/>
      <c r="I80" s="129"/>
      <c r="J80" s="129"/>
    </row>
    <row r="81" spans="1:10">
      <c r="A81" s="128"/>
      <c r="B81" s="129"/>
      <c r="C81" s="129"/>
      <c r="D81" s="129"/>
      <c r="E81" s="129"/>
      <c r="F81" s="129"/>
      <c r="G81" s="129"/>
      <c r="H81" s="129"/>
      <c r="I81" s="129"/>
      <c r="J81" s="129"/>
    </row>
    <row r="82" spans="1:10">
      <c r="A82" s="128"/>
      <c r="B82" s="129"/>
      <c r="C82" s="129"/>
      <c r="D82" s="129"/>
      <c r="E82" s="129"/>
      <c r="F82" s="129"/>
      <c r="G82" s="129"/>
      <c r="H82" s="129"/>
      <c r="I82" s="129"/>
      <c r="J82" s="129"/>
    </row>
    <row r="83" spans="1:10">
      <c r="A83" s="128"/>
      <c r="B83" s="129"/>
      <c r="C83" s="129"/>
      <c r="D83" s="129"/>
      <c r="E83" s="129"/>
      <c r="F83" s="129"/>
      <c r="G83" s="129"/>
      <c r="H83" s="129"/>
      <c r="I83" s="129"/>
      <c r="J83" s="129"/>
    </row>
    <row r="84" spans="1:10">
      <c r="A84" s="128"/>
      <c r="B84" s="129"/>
      <c r="C84" s="129"/>
      <c r="D84" s="129"/>
      <c r="E84" s="129"/>
      <c r="F84" s="129"/>
      <c r="G84" s="129"/>
      <c r="H84" s="129"/>
      <c r="I84" s="129"/>
      <c r="J84" s="129"/>
    </row>
    <row r="85" spans="1:10">
      <c r="A85" s="128"/>
      <c r="B85" s="129"/>
      <c r="C85" s="129"/>
      <c r="D85" s="129"/>
      <c r="E85" s="129"/>
      <c r="F85" s="129"/>
      <c r="G85" s="129"/>
      <c r="H85" s="129"/>
      <c r="I85" s="129"/>
      <c r="J85" s="129"/>
    </row>
    <row r="86" spans="1:10">
      <c r="A86" s="128"/>
      <c r="B86" s="129"/>
      <c r="C86" s="129"/>
      <c r="D86" s="129"/>
      <c r="E86" s="129"/>
      <c r="F86" s="129"/>
      <c r="G86" s="129"/>
      <c r="H86" s="129"/>
      <c r="I86" s="129"/>
      <c r="J86" s="129"/>
    </row>
    <row r="87" spans="1:10">
      <c r="A87" s="128"/>
      <c r="B87" s="129"/>
      <c r="C87" s="129"/>
      <c r="D87" s="129"/>
      <c r="E87" s="129"/>
      <c r="F87" s="129"/>
      <c r="G87" s="129"/>
      <c r="H87" s="129"/>
      <c r="I87" s="129"/>
      <c r="J87" s="129"/>
    </row>
    <row r="88" spans="1:10">
      <c r="A88" s="128"/>
      <c r="B88" s="129"/>
      <c r="C88" s="129"/>
      <c r="D88" s="129"/>
      <c r="E88" s="129"/>
      <c r="F88" s="129"/>
      <c r="G88" s="129"/>
      <c r="H88" s="129"/>
      <c r="I88" s="129"/>
      <c r="J88" s="129"/>
    </row>
    <row r="89" spans="1:10">
      <c r="A89" s="128"/>
      <c r="B89" s="129"/>
      <c r="C89" s="129"/>
      <c r="D89" s="129"/>
      <c r="E89" s="129"/>
      <c r="F89" s="129"/>
      <c r="G89" s="129"/>
      <c r="H89" s="129"/>
      <c r="I89" s="129"/>
      <c r="J89" s="129"/>
    </row>
    <row r="90" spans="1:10">
      <c r="A90" s="128"/>
      <c r="B90" s="129"/>
      <c r="C90" s="129"/>
      <c r="D90" s="129"/>
      <c r="E90" s="129"/>
      <c r="F90" s="129"/>
      <c r="G90" s="129"/>
      <c r="H90" s="129"/>
      <c r="I90" s="129"/>
      <c r="J90" s="129"/>
    </row>
    <row r="91" spans="1:10">
      <c r="A91" s="128"/>
      <c r="B91" s="129"/>
      <c r="C91" s="129"/>
      <c r="D91" s="129"/>
      <c r="E91" s="129"/>
      <c r="F91" s="129"/>
      <c r="G91" s="129"/>
      <c r="H91" s="129"/>
      <c r="I91" s="129"/>
      <c r="J91" s="129"/>
    </row>
    <row r="92" spans="1:10">
      <c r="A92" s="128"/>
      <c r="B92" s="129"/>
      <c r="C92" s="129"/>
      <c r="D92" s="129"/>
      <c r="E92" s="129"/>
      <c r="F92" s="129"/>
      <c r="G92" s="129"/>
      <c r="H92" s="129"/>
      <c r="I92" s="129"/>
      <c r="J92" s="129"/>
    </row>
    <row r="93" spans="1:10">
      <c r="A93" s="128"/>
      <c r="B93" s="129"/>
      <c r="C93" s="129"/>
      <c r="D93" s="129"/>
      <c r="E93" s="129"/>
      <c r="F93" s="129"/>
      <c r="G93" s="129"/>
      <c r="H93" s="129"/>
      <c r="I93" s="129"/>
      <c r="J93" s="129"/>
    </row>
    <row r="94" spans="1:10">
      <c r="A94" s="128"/>
      <c r="B94" s="129"/>
      <c r="C94" s="129"/>
      <c r="D94" s="129"/>
      <c r="E94" s="129"/>
      <c r="F94" s="129"/>
      <c r="G94" s="129"/>
      <c r="H94" s="129"/>
      <c r="I94" s="129"/>
      <c r="J94" s="129"/>
    </row>
    <row r="95" spans="1:10">
      <c r="A95" s="128"/>
      <c r="B95" s="129"/>
      <c r="C95" s="129"/>
      <c r="D95" s="129"/>
      <c r="E95" s="129"/>
      <c r="F95" s="129"/>
      <c r="G95" s="129"/>
      <c r="H95" s="129"/>
      <c r="I95" s="129"/>
      <c r="J95" s="129"/>
    </row>
    <row r="96" spans="1:10">
      <c r="A96" s="128"/>
      <c r="B96" s="129"/>
      <c r="C96" s="129"/>
      <c r="D96" s="129"/>
      <c r="E96" s="129"/>
      <c r="F96" s="129"/>
      <c r="G96" s="129"/>
      <c r="H96" s="129"/>
      <c r="I96" s="129"/>
      <c r="J96" s="129"/>
    </row>
    <row r="97" spans="1:10">
      <c r="A97" s="128"/>
      <c r="B97" s="129"/>
      <c r="C97" s="129"/>
      <c r="D97" s="129"/>
      <c r="E97" s="129"/>
      <c r="F97" s="129"/>
      <c r="G97" s="129"/>
      <c r="H97" s="129"/>
      <c r="I97" s="129"/>
      <c r="J97" s="129"/>
    </row>
    <row r="98" spans="1:10">
      <c r="A98" s="128"/>
      <c r="B98" s="129"/>
      <c r="C98" s="129"/>
      <c r="D98" s="129"/>
      <c r="E98" s="129"/>
      <c r="F98" s="129"/>
      <c r="G98" s="129"/>
      <c r="H98" s="129"/>
      <c r="I98" s="129"/>
      <c r="J98" s="129"/>
    </row>
    <row r="99" spans="1:10">
      <c r="A99" s="128"/>
      <c r="B99" s="129"/>
      <c r="C99" s="129"/>
      <c r="D99" s="129"/>
      <c r="E99" s="129"/>
      <c r="F99" s="129"/>
      <c r="G99" s="129"/>
      <c r="H99" s="129"/>
      <c r="I99" s="129"/>
      <c r="J99" s="129"/>
    </row>
    <row r="100" spans="1:10">
      <c r="A100" s="128"/>
      <c r="B100" s="129"/>
      <c r="C100" s="129"/>
      <c r="D100" s="129"/>
      <c r="E100" s="129"/>
      <c r="F100" s="129"/>
      <c r="G100" s="129"/>
      <c r="H100" s="129"/>
      <c r="I100" s="129"/>
      <c r="J100" s="129"/>
    </row>
    <row r="101" spans="1:10">
      <c r="A101" s="128"/>
      <c r="B101" s="129"/>
      <c r="C101" s="129"/>
      <c r="D101" s="129"/>
      <c r="E101" s="129"/>
      <c r="F101" s="129"/>
      <c r="G101" s="129"/>
      <c r="H101" s="129"/>
      <c r="I101" s="129"/>
      <c r="J101" s="129"/>
    </row>
    <row r="102" spans="1:10">
      <c r="A102" s="128"/>
      <c r="B102" s="129"/>
      <c r="C102" s="129"/>
      <c r="D102" s="129"/>
      <c r="E102" s="129"/>
      <c r="F102" s="129"/>
      <c r="G102" s="129"/>
      <c r="H102" s="129"/>
      <c r="I102" s="129"/>
      <c r="J102" s="129"/>
    </row>
    <row r="103" spans="1:10">
      <c r="A103" s="128"/>
      <c r="B103" s="129"/>
      <c r="C103" s="129"/>
      <c r="D103" s="129"/>
      <c r="E103" s="129"/>
      <c r="F103" s="129"/>
      <c r="G103" s="129"/>
      <c r="H103" s="129"/>
      <c r="I103" s="129"/>
      <c r="J103" s="129"/>
    </row>
    <row r="104" spans="1:10">
      <c r="A104" s="128"/>
      <c r="B104" s="129"/>
      <c r="C104" s="129"/>
      <c r="D104" s="129"/>
      <c r="E104" s="129"/>
      <c r="F104" s="129"/>
      <c r="G104" s="129"/>
      <c r="H104" s="129"/>
      <c r="I104" s="129"/>
      <c r="J104" s="129"/>
    </row>
    <row r="105" spans="1:10">
      <c r="A105" s="128"/>
      <c r="B105" s="129"/>
      <c r="C105" s="129"/>
      <c r="D105" s="129"/>
      <c r="E105" s="129"/>
      <c r="F105" s="129"/>
      <c r="G105" s="129"/>
      <c r="H105" s="129"/>
      <c r="I105" s="129"/>
      <c r="J105" s="129"/>
    </row>
    <row r="106" spans="1:10">
      <c r="A106" s="128"/>
      <c r="B106" s="129"/>
      <c r="C106" s="129"/>
      <c r="D106" s="129"/>
      <c r="E106" s="129"/>
      <c r="F106" s="129"/>
      <c r="G106" s="129"/>
      <c r="H106" s="129"/>
      <c r="I106" s="129"/>
      <c r="J106" s="129"/>
    </row>
    <row r="107" spans="1:10">
      <c r="A107" s="128"/>
      <c r="B107" s="129"/>
      <c r="C107" s="129"/>
      <c r="D107" s="129"/>
      <c r="E107" s="129"/>
      <c r="F107" s="129"/>
      <c r="G107" s="129"/>
      <c r="H107" s="129"/>
      <c r="I107" s="129"/>
      <c r="J107" s="129"/>
    </row>
    <row r="108" spans="1:10">
      <c r="A108" s="128"/>
      <c r="B108" s="129"/>
      <c r="C108" s="129"/>
      <c r="D108" s="129"/>
      <c r="E108" s="129"/>
      <c r="F108" s="129"/>
      <c r="G108" s="129"/>
      <c r="H108" s="129"/>
      <c r="I108" s="129"/>
      <c r="J108" s="129"/>
    </row>
    <row r="109" spans="1:10">
      <c r="A109" s="128"/>
      <c r="B109" s="129"/>
      <c r="C109" s="129"/>
      <c r="D109" s="129"/>
      <c r="E109" s="129"/>
      <c r="F109" s="129"/>
      <c r="G109" s="129"/>
      <c r="H109" s="129"/>
      <c r="I109" s="129"/>
      <c r="J109" s="129"/>
    </row>
    <row r="110" spans="1:10">
      <c r="A110" s="128"/>
      <c r="B110" s="129"/>
      <c r="C110" s="129"/>
      <c r="D110" s="129"/>
      <c r="E110" s="129"/>
      <c r="F110" s="129"/>
      <c r="G110" s="129"/>
      <c r="H110" s="129"/>
      <c r="I110" s="129"/>
      <c r="J110" s="129"/>
    </row>
    <row r="111" spans="1:10">
      <c r="A111" s="128"/>
      <c r="B111" s="129"/>
      <c r="C111" s="129"/>
      <c r="D111" s="129"/>
      <c r="E111" s="129"/>
      <c r="F111" s="129"/>
      <c r="G111" s="129"/>
      <c r="H111" s="129"/>
      <c r="I111" s="129"/>
      <c r="J111" s="129"/>
    </row>
    <row r="112" spans="1:10">
      <c r="A112" s="128"/>
      <c r="B112" s="129"/>
      <c r="C112" s="129"/>
      <c r="D112" s="129"/>
      <c r="E112" s="129"/>
      <c r="F112" s="129"/>
      <c r="G112" s="129"/>
      <c r="H112" s="129"/>
      <c r="I112" s="129"/>
      <c r="J112" s="129"/>
    </row>
    <row r="113" spans="1:10">
      <c r="A113" s="128"/>
      <c r="B113" s="129"/>
      <c r="C113" s="129"/>
      <c r="D113" s="129"/>
      <c r="E113" s="129"/>
      <c r="F113" s="129"/>
      <c r="G113" s="129"/>
      <c r="H113" s="129"/>
      <c r="I113" s="129"/>
      <c r="J113" s="129"/>
    </row>
    <row r="114" spans="1:10">
      <c r="A114" s="128"/>
      <c r="B114" s="129"/>
      <c r="C114" s="129"/>
      <c r="D114" s="129"/>
      <c r="E114" s="129"/>
      <c r="F114" s="129"/>
      <c r="G114" s="129"/>
      <c r="H114" s="129"/>
      <c r="I114" s="129"/>
      <c r="J114" s="129"/>
    </row>
    <row r="115" spans="1:10">
      <c r="A115" s="128"/>
      <c r="B115" s="129"/>
      <c r="C115" s="129"/>
      <c r="D115" s="129"/>
      <c r="E115" s="129"/>
      <c r="F115" s="129"/>
      <c r="G115" s="129"/>
      <c r="H115" s="129"/>
      <c r="I115" s="129"/>
      <c r="J115" s="129"/>
    </row>
    <row r="116" spans="1:10">
      <c r="A116" s="128"/>
      <c r="B116" s="129"/>
      <c r="C116" s="129"/>
      <c r="D116" s="129"/>
      <c r="E116" s="129"/>
      <c r="F116" s="129"/>
      <c r="G116" s="129"/>
      <c r="H116" s="129"/>
      <c r="I116" s="129"/>
      <c r="J116" s="129"/>
    </row>
    <row r="117" spans="1:10">
      <c r="A117" s="128"/>
      <c r="B117" s="129"/>
      <c r="C117" s="129"/>
      <c r="D117" s="129"/>
      <c r="E117" s="129"/>
      <c r="F117" s="129"/>
      <c r="G117" s="129"/>
      <c r="H117" s="129"/>
      <c r="I117" s="129"/>
      <c r="J117" s="129"/>
    </row>
    <row r="118" spans="1:10">
      <c r="A118" s="128"/>
      <c r="B118" s="129"/>
      <c r="C118" s="129"/>
      <c r="D118" s="129"/>
      <c r="E118" s="129"/>
      <c r="F118" s="129"/>
      <c r="G118" s="129"/>
      <c r="H118" s="129"/>
      <c r="I118" s="129"/>
      <c r="J118" s="129"/>
    </row>
    <row r="119" spans="1:10">
      <c r="A119" s="128"/>
      <c r="B119" s="129"/>
      <c r="C119" s="129"/>
      <c r="D119" s="129"/>
      <c r="E119" s="129"/>
      <c r="F119" s="129"/>
      <c r="G119" s="129"/>
      <c r="H119" s="129"/>
      <c r="I119" s="129"/>
      <c r="J119" s="129"/>
    </row>
    <row r="120" spans="1:10">
      <c r="A120" s="128"/>
      <c r="B120" s="129"/>
      <c r="C120" s="129"/>
      <c r="D120" s="129"/>
      <c r="E120" s="129"/>
      <c r="F120" s="129"/>
      <c r="G120" s="129"/>
      <c r="H120" s="129"/>
      <c r="I120" s="129"/>
      <c r="J120" s="129"/>
    </row>
    <row r="121" spans="1:10">
      <c r="A121" s="128"/>
      <c r="B121" s="129"/>
      <c r="C121" s="129"/>
      <c r="D121" s="129"/>
      <c r="E121" s="129"/>
      <c r="F121" s="129"/>
      <c r="G121" s="129"/>
      <c r="H121" s="129"/>
      <c r="I121" s="129"/>
      <c r="J121" s="129"/>
    </row>
    <row r="122" spans="1:10">
      <c r="A122" s="128"/>
      <c r="B122" s="129"/>
      <c r="C122" s="129"/>
      <c r="D122" s="129"/>
      <c r="E122" s="129"/>
      <c r="F122" s="129"/>
      <c r="G122" s="129"/>
      <c r="H122" s="129"/>
      <c r="I122" s="129"/>
      <c r="J122" s="129"/>
    </row>
    <row r="123" spans="1:10">
      <c r="A123" s="128"/>
      <c r="B123" s="129"/>
      <c r="C123" s="129"/>
      <c r="D123" s="129"/>
      <c r="E123" s="129"/>
      <c r="F123" s="129"/>
      <c r="G123" s="129"/>
      <c r="H123" s="129"/>
      <c r="I123" s="129"/>
      <c r="J123" s="129"/>
    </row>
    <row r="124" spans="1:10">
      <c r="A124" s="128"/>
      <c r="B124" s="129"/>
      <c r="C124" s="129"/>
      <c r="D124" s="129"/>
      <c r="E124" s="129"/>
      <c r="F124" s="129"/>
      <c r="G124" s="129"/>
      <c r="H124" s="129"/>
      <c r="I124" s="129"/>
      <c r="J124" s="129"/>
    </row>
    <row r="125" spans="1:10">
      <c r="A125" s="128"/>
      <c r="B125" s="129"/>
      <c r="C125" s="129"/>
      <c r="D125" s="129"/>
      <c r="E125" s="129"/>
      <c r="F125" s="129"/>
      <c r="G125" s="129"/>
      <c r="H125" s="129"/>
      <c r="I125" s="129"/>
      <c r="J125" s="129"/>
    </row>
    <row r="126" spans="1:10">
      <c r="A126" s="128"/>
      <c r="B126" s="129"/>
      <c r="C126" s="129"/>
      <c r="D126" s="129"/>
      <c r="E126" s="129"/>
      <c r="F126" s="129"/>
      <c r="G126" s="129"/>
      <c r="H126" s="129"/>
      <c r="I126" s="129"/>
      <c r="J126" s="129"/>
    </row>
    <row r="127" spans="1:10">
      <c r="A127" s="128"/>
      <c r="B127" s="129"/>
      <c r="C127" s="129"/>
      <c r="D127" s="129"/>
      <c r="E127" s="129"/>
      <c r="F127" s="129"/>
      <c r="G127" s="129"/>
      <c r="H127" s="129"/>
      <c r="I127" s="129"/>
      <c r="J127" s="129"/>
    </row>
    <row r="128" spans="1:10">
      <c r="A128" s="128"/>
      <c r="B128" s="129"/>
      <c r="C128" s="129"/>
      <c r="D128" s="129"/>
      <c r="E128" s="129"/>
      <c r="F128" s="129"/>
      <c r="G128" s="129"/>
      <c r="H128" s="129"/>
      <c r="I128" s="129"/>
      <c r="J128" s="129"/>
    </row>
    <row r="129" spans="1:10">
      <c r="A129" s="128"/>
      <c r="B129" s="129"/>
      <c r="C129" s="129"/>
      <c r="D129" s="129"/>
      <c r="E129" s="129"/>
      <c r="F129" s="129"/>
      <c r="G129" s="129"/>
      <c r="H129" s="129"/>
      <c r="I129" s="129"/>
      <c r="J129" s="129"/>
    </row>
    <row r="130" spans="1:10">
      <c r="A130" s="128"/>
      <c r="B130" s="129"/>
      <c r="C130" s="129"/>
      <c r="D130" s="129"/>
      <c r="E130" s="129"/>
      <c r="F130" s="129"/>
      <c r="G130" s="129"/>
      <c r="H130" s="129"/>
      <c r="I130" s="129"/>
      <c r="J130" s="129"/>
    </row>
    <row r="131" spans="1:10">
      <c r="A131" s="128"/>
      <c r="B131" s="129"/>
      <c r="C131" s="129"/>
      <c r="D131" s="129"/>
      <c r="E131" s="129"/>
      <c r="F131" s="129"/>
      <c r="G131" s="129"/>
      <c r="H131" s="129"/>
      <c r="I131" s="129"/>
      <c r="J131" s="129"/>
    </row>
    <row r="132" spans="1:10">
      <c r="A132" s="128"/>
      <c r="B132" s="129"/>
      <c r="C132" s="129"/>
      <c r="D132" s="129"/>
      <c r="E132" s="129"/>
      <c r="F132" s="129"/>
      <c r="G132" s="129"/>
      <c r="H132" s="129"/>
      <c r="I132" s="129"/>
      <c r="J132" s="129"/>
    </row>
    <row r="133" spans="1:10">
      <c r="A133" s="128"/>
      <c r="B133" s="129"/>
      <c r="C133" s="129"/>
      <c r="D133" s="129"/>
      <c r="E133" s="129"/>
      <c r="F133" s="129"/>
      <c r="G133" s="129"/>
      <c r="H133" s="129"/>
      <c r="I133" s="129"/>
      <c r="J133" s="129"/>
    </row>
    <row r="134" spans="1:10">
      <c r="A134" s="128"/>
      <c r="B134" s="129"/>
      <c r="C134" s="129"/>
      <c r="D134" s="129"/>
      <c r="E134" s="129"/>
      <c r="F134" s="129"/>
      <c r="G134" s="129"/>
      <c r="H134" s="129"/>
      <c r="I134" s="129"/>
      <c r="J134" s="129"/>
    </row>
    <row r="135" spans="1:10">
      <c r="A135" s="128"/>
      <c r="B135" s="129"/>
      <c r="C135" s="129"/>
      <c r="D135" s="129"/>
      <c r="E135" s="129"/>
      <c r="F135" s="129"/>
      <c r="G135" s="129"/>
      <c r="H135" s="129"/>
      <c r="I135" s="129"/>
      <c r="J135" s="129"/>
    </row>
    <row r="136" spans="1:10">
      <c r="A136" s="128"/>
      <c r="B136" s="129"/>
      <c r="C136" s="129"/>
      <c r="D136" s="129"/>
      <c r="E136" s="129"/>
      <c r="F136" s="129"/>
      <c r="G136" s="129"/>
      <c r="H136" s="129"/>
      <c r="I136" s="129"/>
      <c r="J136" s="129"/>
    </row>
    <row r="137" spans="1:10">
      <c r="A137" s="128"/>
      <c r="B137" s="129"/>
      <c r="C137" s="129"/>
      <c r="D137" s="129"/>
      <c r="E137" s="129"/>
      <c r="F137" s="129"/>
      <c r="G137" s="129"/>
      <c r="H137" s="129"/>
      <c r="I137" s="129"/>
      <c r="J137" s="129"/>
    </row>
    <row r="138" spans="1:10">
      <c r="A138" s="128"/>
      <c r="B138" s="129"/>
      <c r="C138" s="129"/>
      <c r="D138" s="129"/>
      <c r="E138" s="129"/>
      <c r="F138" s="129"/>
      <c r="G138" s="129"/>
      <c r="H138" s="129"/>
      <c r="I138" s="129"/>
      <c r="J138" s="129"/>
    </row>
    <row r="139" spans="1:10">
      <c r="A139" s="128"/>
      <c r="B139" s="129"/>
      <c r="C139" s="129"/>
      <c r="D139" s="129"/>
      <c r="E139" s="129"/>
      <c r="F139" s="129"/>
      <c r="G139" s="129"/>
      <c r="H139" s="129"/>
      <c r="I139" s="129"/>
      <c r="J139" s="129"/>
    </row>
    <row r="140" spans="1:10">
      <c r="A140" s="128"/>
      <c r="B140" s="129"/>
      <c r="C140" s="129"/>
      <c r="D140" s="129"/>
      <c r="E140" s="129"/>
      <c r="F140" s="129"/>
      <c r="G140" s="129"/>
      <c r="H140" s="129"/>
      <c r="I140" s="129"/>
      <c r="J140" s="129"/>
    </row>
    <row r="141" spans="1:10">
      <c r="A141" s="128"/>
      <c r="B141" s="129"/>
      <c r="C141" s="129"/>
      <c r="D141" s="129"/>
      <c r="E141" s="129"/>
      <c r="F141" s="129"/>
      <c r="G141" s="129"/>
      <c r="H141" s="129"/>
      <c r="I141" s="129"/>
      <c r="J141" s="129"/>
    </row>
    <row r="142" spans="1:10">
      <c r="A142" s="128"/>
      <c r="B142" s="129"/>
      <c r="C142" s="129"/>
      <c r="D142" s="129"/>
      <c r="E142" s="129"/>
      <c r="F142" s="129"/>
      <c r="G142" s="129"/>
      <c r="H142" s="129"/>
      <c r="I142" s="129"/>
      <c r="J142" s="129"/>
    </row>
    <row r="143" spans="1:10">
      <c r="A143" s="128"/>
      <c r="B143" s="129"/>
      <c r="C143" s="129"/>
      <c r="D143" s="129"/>
      <c r="E143" s="129"/>
      <c r="F143" s="129"/>
      <c r="G143" s="129"/>
      <c r="H143" s="129"/>
      <c r="I143" s="129"/>
      <c r="J143" s="129"/>
    </row>
    <row r="144" spans="1:10">
      <c r="A144" s="128"/>
      <c r="B144" s="129"/>
      <c r="C144" s="129"/>
      <c r="D144" s="129"/>
      <c r="E144" s="129"/>
      <c r="F144" s="129"/>
      <c r="G144" s="129"/>
      <c r="H144" s="129"/>
      <c r="I144" s="129"/>
      <c r="J144" s="129"/>
    </row>
    <row r="145" spans="1:10">
      <c r="A145" s="128"/>
      <c r="B145" s="129"/>
      <c r="C145" s="129"/>
      <c r="D145" s="129"/>
      <c r="E145" s="129"/>
      <c r="F145" s="129"/>
      <c r="G145" s="129"/>
      <c r="H145" s="129"/>
      <c r="I145" s="129"/>
      <c r="J145" s="129"/>
    </row>
    <row r="146" spans="1:10">
      <c r="A146" s="128"/>
      <c r="B146" s="129"/>
      <c r="C146" s="129"/>
      <c r="D146" s="129"/>
      <c r="E146" s="129"/>
      <c r="F146" s="129"/>
      <c r="G146" s="129"/>
      <c r="H146" s="129"/>
      <c r="I146" s="129"/>
      <c r="J146" s="129"/>
    </row>
    <row r="147" spans="1:10">
      <c r="A147" s="128"/>
      <c r="B147" s="129"/>
      <c r="C147" s="129"/>
      <c r="D147" s="129"/>
      <c r="E147" s="129"/>
      <c r="F147" s="129"/>
      <c r="G147" s="129"/>
      <c r="H147" s="129"/>
      <c r="I147" s="129"/>
      <c r="J147" s="129"/>
    </row>
    <row r="148" spans="1:10">
      <c r="A148" s="128"/>
      <c r="B148" s="129"/>
      <c r="C148" s="129"/>
      <c r="D148" s="129"/>
      <c r="E148" s="129"/>
      <c r="F148" s="129"/>
      <c r="G148" s="129"/>
      <c r="H148" s="129"/>
      <c r="I148" s="129"/>
      <c r="J148" s="129"/>
    </row>
    <row r="149" spans="1:10">
      <c r="A149" s="128"/>
      <c r="B149" s="129"/>
      <c r="C149" s="129"/>
      <c r="D149" s="129"/>
      <c r="E149" s="129"/>
      <c r="F149" s="129"/>
      <c r="G149" s="129"/>
      <c r="H149" s="129"/>
      <c r="I149" s="129"/>
      <c r="J149" s="129"/>
    </row>
    <row r="150" spans="1:10">
      <c r="A150" s="128"/>
      <c r="B150" s="129"/>
      <c r="C150" s="129"/>
      <c r="D150" s="129"/>
      <c r="E150" s="129"/>
      <c r="F150" s="129"/>
      <c r="G150" s="129"/>
      <c r="H150" s="129"/>
      <c r="I150" s="129"/>
      <c r="J150" s="129"/>
    </row>
    <row r="151" spans="1:10">
      <c r="A151" s="128"/>
      <c r="B151" s="129"/>
      <c r="C151" s="129"/>
      <c r="D151" s="129"/>
      <c r="E151" s="129"/>
      <c r="F151" s="129"/>
      <c r="G151" s="129"/>
      <c r="H151" s="129"/>
      <c r="I151" s="129"/>
      <c r="J151" s="129"/>
    </row>
    <row r="152" spans="1:10">
      <c r="A152" s="128"/>
      <c r="B152" s="129"/>
      <c r="C152" s="129"/>
      <c r="D152" s="129"/>
      <c r="E152" s="129"/>
      <c r="F152" s="129"/>
      <c r="G152" s="129"/>
      <c r="H152" s="129"/>
      <c r="I152" s="129"/>
      <c r="J152" s="129"/>
    </row>
    <row r="153" spans="1:10">
      <c r="A153" s="128"/>
      <c r="B153" s="129"/>
      <c r="C153" s="129"/>
      <c r="D153" s="129"/>
      <c r="E153" s="129"/>
      <c r="F153" s="129"/>
      <c r="G153" s="129"/>
      <c r="H153" s="129"/>
      <c r="I153" s="129"/>
      <c r="J153" s="129"/>
    </row>
    <row r="154" spans="1:10">
      <c r="A154" s="128"/>
      <c r="B154" s="129"/>
      <c r="C154" s="129"/>
      <c r="D154" s="129"/>
      <c r="E154" s="129"/>
      <c r="F154" s="129"/>
      <c r="G154" s="129"/>
      <c r="H154" s="129"/>
      <c r="I154" s="129"/>
      <c r="J154" s="129"/>
    </row>
    <row r="155" spans="1:10">
      <c r="A155" s="128"/>
      <c r="B155" s="129"/>
      <c r="C155" s="129"/>
      <c r="D155" s="129"/>
      <c r="E155" s="129"/>
      <c r="F155" s="129"/>
      <c r="G155" s="129"/>
      <c r="H155" s="129"/>
      <c r="I155" s="129"/>
      <c r="J155" s="129"/>
    </row>
    <row r="156" spans="1:10">
      <c r="A156" s="128"/>
      <c r="B156" s="129"/>
      <c r="C156" s="129"/>
      <c r="D156" s="129"/>
      <c r="E156" s="129"/>
      <c r="F156" s="129"/>
      <c r="G156" s="129"/>
      <c r="H156" s="129"/>
      <c r="I156" s="129"/>
      <c r="J156" s="129"/>
    </row>
    <row r="157" spans="1:10">
      <c r="A157" s="128"/>
      <c r="B157" s="129"/>
      <c r="C157" s="129"/>
      <c r="D157" s="129"/>
      <c r="E157" s="129"/>
      <c r="F157" s="129"/>
      <c r="G157" s="129"/>
      <c r="H157" s="129"/>
      <c r="I157" s="129"/>
      <c r="J157" s="129"/>
    </row>
    <row r="158" spans="1:10">
      <c r="A158" s="128"/>
      <c r="B158" s="129"/>
      <c r="C158" s="129"/>
      <c r="D158" s="129"/>
      <c r="E158" s="129"/>
      <c r="F158" s="129"/>
      <c r="G158" s="129"/>
      <c r="H158" s="129"/>
      <c r="I158" s="129"/>
      <c r="J158" s="129"/>
    </row>
    <row r="159" spans="1:10">
      <c r="A159" s="128"/>
      <c r="B159" s="129"/>
      <c r="C159" s="129"/>
      <c r="D159" s="129"/>
      <c r="E159" s="129"/>
      <c r="F159" s="129"/>
      <c r="G159" s="129"/>
      <c r="H159" s="129"/>
      <c r="I159" s="129"/>
      <c r="J159" s="129"/>
    </row>
    <row r="160" spans="1:10">
      <c r="A160" s="128"/>
      <c r="B160" s="129"/>
      <c r="C160" s="129"/>
      <c r="D160" s="129"/>
      <c r="E160" s="129"/>
      <c r="F160" s="129"/>
      <c r="G160" s="129"/>
      <c r="H160" s="129"/>
      <c r="I160" s="129"/>
      <c r="J160" s="129"/>
    </row>
    <row r="161" spans="1:10">
      <c r="A161" s="128"/>
      <c r="B161" s="129"/>
      <c r="C161" s="129"/>
      <c r="D161" s="129"/>
      <c r="E161" s="129"/>
      <c r="F161" s="129"/>
      <c r="G161" s="129"/>
      <c r="H161" s="129"/>
      <c r="I161" s="129"/>
      <c r="J161" s="129"/>
    </row>
    <row r="162" spans="1:10">
      <c r="A162" s="128"/>
      <c r="B162" s="129"/>
      <c r="C162" s="129"/>
      <c r="D162" s="129"/>
      <c r="E162" s="129"/>
      <c r="F162" s="129"/>
      <c r="G162" s="129"/>
      <c r="H162" s="129"/>
      <c r="I162" s="129"/>
      <c r="J162" s="129"/>
    </row>
    <row r="163" spans="1:10">
      <c r="A163" s="128"/>
      <c r="B163" s="129"/>
      <c r="C163" s="129"/>
      <c r="D163" s="129"/>
      <c r="E163" s="129"/>
      <c r="F163" s="129"/>
      <c r="G163" s="129"/>
      <c r="H163" s="129"/>
      <c r="I163" s="129"/>
      <c r="J163" s="129"/>
    </row>
    <row r="164" spans="1:10">
      <c r="A164" s="128"/>
      <c r="B164" s="129"/>
      <c r="C164" s="129"/>
      <c r="D164" s="129"/>
      <c r="E164" s="129"/>
      <c r="F164" s="129"/>
      <c r="G164" s="129"/>
      <c r="H164" s="129"/>
      <c r="I164" s="129"/>
      <c r="J164" s="129"/>
    </row>
    <row r="165" spans="1:10">
      <c r="A165" s="128"/>
      <c r="B165" s="129"/>
      <c r="C165" s="129"/>
      <c r="D165" s="129"/>
      <c r="E165" s="129"/>
      <c r="F165" s="129"/>
      <c r="G165" s="129"/>
      <c r="H165" s="129"/>
      <c r="I165" s="129"/>
      <c r="J165" s="129"/>
    </row>
    <row r="166" spans="1:10">
      <c r="A166" s="128"/>
      <c r="B166" s="129"/>
      <c r="C166" s="129"/>
      <c r="D166" s="129"/>
      <c r="E166" s="129"/>
      <c r="F166" s="129"/>
      <c r="G166" s="129"/>
      <c r="H166" s="129"/>
      <c r="I166" s="129"/>
      <c r="J166" s="129"/>
    </row>
    <row r="167" spans="1:10">
      <c r="A167" s="128"/>
      <c r="B167" s="129"/>
      <c r="C167" s="129"/>
      <c r="D167" s="129"/>
      <c r="E167" s="129"/>
      <c r="F167" s="129"/>
      <c r="G167" s="129"/>
      <c r="H167" s="129"/>
      <c r="I167" s="129"/>
      <c r="J167" s="129"/>
    </row>
    <row r="168" spans="1:10">
      <c r="A168" s="128"/>
      <c r="B168" s="129"/>
      <c r="C168" s="129"/>
      <c r="D168" s="129"/>
      <c r="E168" s="129"/>
      <c r="F168" s="129"/>
      <c r="G168" s="129"/>
      <c r="H168" s="129"/>
      <c r="I168" s="129"/>
      <c r="J168" s="129"/>
    </row>
    <row r="169" spans="1:10">
      <c r="A169" s="128"/>
      <c r="B169" s="129"/>
      <c r="C169" s="129"/>
      <c r="D169" s="129"/>
      <c r="E169" s="129"/>
      <c r="F169" s="129"/>
      <c r="G169" s="129"/>
      <c r="H169" s="129"/>
      <c r="I169" s="129"/>
      <c r="J169" s="129"/>
    </row>
    <row r="170" spans="1:10">
      <c r="A170" s="128"/>
      <c r="B170" s="129"/>
      <c r="C170" s="129"/>
      <c r="D170" s="129"/>
      <c r="E170" s="129"/>
      <c r="F170" s="129"/>
      <c r="G170" s="129"/>
      <c r="H170" s="129"/>
      <c r="I170" s="129"/>
      <c r="J170" s="129"/>
    </row>
    <row r="171" spans="1:10">
      <c r="A171" s="128"/>
      <c r="B171" s="129"/>
      <c r="C171" s="129"/>
      <c r="D171" s="129"/>
      <c r="E171" s="129"/>
      <c r="F171" s="129"/>
      <c r="G171" s="129"/>
      <c r="H171" s="129"/>
      <c r="I171" s="129"/>
      <c r="J171" s="129"/>
    </row>
    <row r="172" spans="1:10">
      <c r="A172" s="128"/>
      <c r="B172" s="129"/>
      <c r="C172" s="129"/>
      <c r="D172" s="129"/>
      <c r="E172" s="129"/>
      <c r="F172" s="129"/>
      <c r="G172" s="129"/>
      <c r="H172" s="129"/>
      <c r="I172" s="129"/>
      <c r="J172" s="129"/>
    </row>
    <row r="173" spans="1:10">
      <c r="A173" s="128"/>
      <c r="B173" s="129"/>
      <c r="C173" s="129"/>
      <c r="D173" s="129"/>
      <c r="E173" s="129"/>
      <c r="F173" s="129"/>
      <c r="G173" s="129"/>
      <c r="H173" s="129"/>
      <c r="I173" s="129"/>
      <c r="J173" s="129"/>
    </row>
    <row r="174" spans="1:10">
      <c r="A174" s="128"/>
      <c r="B174" s="129"/>
      <c r="C174" s="129"/>
      <c r="D174" s="129"/>
      <c r="E174" s="129"/>
      <c r="F174" s="129"/>
      <c r="G174" s="129"/>
      <c r="H174" s="129"/>
      <c r="I174" s="129"/>
      <c r="J174" s="129"/>
    </row>
    <row r="175" spans="1:10">
      <c r="A175" s="128"/>
      <c r="B175" s="129"/>
      <c r="C175" s="129"/>
      <c r="D175" s="129"/>
      <c r="E175" s="129"/>
      <c r="F175" s="129"/>
      <c r="G175" s="129"/>
      <c r="H175" s="129"/>
      <c r="I175" s="129"/>
      <c r="J175" s="129"/>
    </row>
    <row r="176" spans="1:10">
      <c r="A176" s="128"/>
      <c r="B176" s="129"/>
      <c r="C176" s="129"/>
      <c r="D176" s="129"/>
      <c r="E176" s="129"/>
      <c r="F176" s="129"/>
      <c r="G176" s="129"/>
      <c r="H176" s="129"/>
      <c r="I176" s="129"/>
      <c r="J176" s="129"/>
    </row>
    <row r="177" spans="1:10">
      <c r="A177" s="128"/>
      <c r="B177" s="129"/>
      <c r="C177" s="129"/>
      <c r="D177" s="129"/>
      <c r="E177" s="129"/>
      <c r="F177" s="129"/>
      <c r="G177" s="129"/>
      <c r="H177" s="129"/>
      <c r="I177" s="129"/>
      <c r="J177" s="129"/>
    </row>
    <row r="178" spans="1:10">
      <c r="A178" s="128"/>
      <c r="B178" s="129"/>
      <c r="C178" s="129"/>
      <c r="D178" s="129"/>
      <c r="E178" s="129"/>
      <c r="F178" s="129"/>
      <c r="G178" s="129"/>
      <c r="H178" s="129"/>
      <c r="I178" s="129"/>
      <c r="J178" s="129"/>
    </row>
    <row r="179" spans="1:10">
      <c r="A179" s="128"/>
      <c r="B179" s="129"/>
      <c r="C179" s="129"/>
      <c r="D179" s="129"/>
      <c r="E179" s="129"/>
      <c r="F179" s="129"/>
      <c r="G179" s="129"/>
      <c r="H179" s="129"/>
      <c r="I179" s="129"/>
      <c r="J179" s="129"/>
    </row>
    <row r="180" spans="1:10">
      <c r="A180" s="128"/>
      <c r="B180" s="129"/>
      <c r="C180" s="129"/>
      <c r="D180" s="129"/>
      <c r="E180" s="129"/>
      <c r="F180" s="129"/>
      <c r="G180" s="129"/>
      <c r="H180" s="129"/>
      <c r="I180" s="129"/>
      <c r="J180" s="129"/>
    </row>
    <row r="181" spans="1:10">
      <c r="A181" s="128"/>
      <c r="B181" s="129"/>
      <c r="C181" s="129"/>
      <c r="D181" s="129"/>
      <c r="E181" s="129"/>
      <c r="F181" s="129"/>
      <c r="G181" s="129"/>
      <c r="H181" s="129"/>
      <c r="I181" s="129"/>
      <c r="J181" s="129"/>
    </row>
    <row r="182" spans="1:10">
      <c r="A182" s="128"/>
      <c r="B182" s="129"/>
      <c r="C182" s="129"/>
      <c r="D182" s="129"/>
      <c r="E182" s="129"/>
      <c r="F182" s="129"/>
      <c r="G182" s="129"/>
      <c r="H182" s="129"/>
      <c r="I182" s="129"/>
      <c r="J182" s="129"/>
    </row>
    <row r="183" spans="1:10">
      <c r="A183" s="128"/>
      <c r="B183" s="129"/>
      <c r="C183" s="129"/>
      <c r="D183" s="129"/>
      <c r="E183" s="129"/>
      <c r="F183" s="129"/>
      <c r="G183" s="129"/>
      <c r="H183" s="129"/>
      <c r="I183" s="129"/>
      <c r="J183" s="129"/>
    </row>
    <row r="184" spans="1:10">
      <c r="A184" s="128"/>
      <c r="B184" s="129"/>
      <c r="C184" s="129"/>
      <c r="D184" s="129"/>
      <c r="E184" s="129"/>
      <c r="F184" s="129"/>
      <c r="G184" s="129"/>
      <c r="H184" s="129"/>
      <c r="I184" s="129"/>
      <c r="J184" s="129"/>
    </row>
    <row r="185" spans="1:10">
      <c r="A185" s="128"/>
      <c r="B185" s="129"/>
      <c r="C185" s="129"/>
      <c r="D185" s="129"/>
      <c r="E185" s="129"/>
      <c r="F185" s="129"/>
      <c r="G185" s="129"/>
      <c r="H185" s="129"/>
      <c r="I185" s="129"/>
      <c r="J185" s="129"/>
    </row>
    <row r="186" spans="1:10">
      <c r="A186" s="128"/>
      <c r="B186" s="129"/>
      <c r="C186" s="129"/>
      <c r="D186" s="129"/>
      <c r="E186" s="129"/>
      <c r="F186" s="129"/>
      <c r="G186" s="129"/>
      <c r="H186" s="129"/>
      <c r="I186" s="129"/>
      <c r="J186" s="129"/>
    </row>
    <row r="187" spans="1:10">
      <c r="A187" s="128"/>
      <c r="B187" s="129"/>
      <c r="C187" s="129"/>
      <c r="D187" s="129"/>
      <c r="E187" s="129"/>
      <c r="F187" s="129"/>
      <c r="G187" s="129"/>
      <c r="H187" s="129"/>
      <c r="I187" s="129"/>
      <c r="J187" s="129"/>
    </row>
    <row r="188" spans="1:10">
      <c r="A188" s="128"/>
      <c r="B188" s="129"/>
      <c r="C188" s="129"/>
      <c r="D188" s="129"/>
      <c r="E188" s="129"/>
      <c r="F188" s="129"/>
      <c r="G188" s="129"/>
      <c r="H188" s="129"/>
      <c r="I188" s="129"/>
      <c r="J188" s="129"/>
    </row>
    <row r="189" spans="1:10">
      <c r="A189" s="128"/>
      <c r="B189" s="129"/>
      <c r="C189" s="129"/>
      <c r="D189" s="129"/>
      <c r="E189" s="129"/>
      <c r="F189" s="129"/>
      <c r="G189" s="129"/>
      <c r="H189" s="129"/>
      <c r="I189" s="129"/>
      <c r="J189" s="129"/>
    </row>
    <row r="190" spans="1:10">
      <c r="A190" s="128"/>
      <c r="B190" s="129"/>
      <c r="C190" s="129"/>
      <c r="D190" s="129"/>
      <c r="E190" s="129"/>
      <c r="F190" s="129"/>
      <c r="G190" s="129"/>
      <c r="H190" s="129"/>
      <c r="I190" s="129"/>
      <c r="J190" s="129"/>
    </row>
    <row r="191" spans="1:10">
      <c r="A191" s="128"/>
      <c r="B191" s="129"/>
      <c r="C191" s="129"/>
      <c r="D191" s="129"/>
      <c r="E191" s="129"/>
      <c r="F191" s="129"/>
      <c r="G191" s="129"/>
      <c r="H191" s="129"/>
      <c r="I191" s="129"/>
      <c r="J191" s="129"/>
    </row>
    <row r="192" spans="1:10">
      <c r="A192" s="128"/>
      <c r="B192" s="129"/>
      <c r="C192" s="129"/>
      <c r="D192" s="129"/>
      <c r="E192" s="129"/>
      <c r="F192" s="129"/>
      <c r="G192" s="129"/>
      <c r="H192" s="129"/>
      <c r="I192" s="129"/>
      <c r="J192" s="129"/>
    </row>
    <row r="193" spans="1:10">
      <c r="A193" s="128"/>
      <c r="B193" s="129"/>
      <c r="C193" s="129"/>
      <c r="D193" s="129"/>
      <c r="E193" s="129"/>
      <c r="F193" s="129"/>
      <c r="G193" s="129"/>
      <c r="H193" s="129"/>
      <c r="I193" s="129"/>
      <c r="J193" s="129"/>
    </row>
    <row r="194" spans="1:10">
      <c r="A194" s="128"/>
      <c r="B194" s="129"/>
      <c r="C194" s="129"/>
      <c r="D194" s="129"/>
      <c r="E194" s="129"/>
      <c r="F194" s="129"/>
      <c r="G194" s="129"/>
      <c r="H194" s="129"/>
      <c r="I194" s="129"/>
      <c r="J194" s="129"/>
    </row>
    <row r="195" spans="1:10">
      <c r="A195" s="128"/>
      <c r="B195" s="129"/>
      <c r="C195" s="129"/>
      <c r="D195" s="129"/>
      <c r="E195" s="129"/>
      <c r="F195" s="129"/>
      <c r="G195" s="129"/>
      <c r="H195" s="129"/>
      <c r="I195" s="129"/>
      <c r="J195" s="129"/>
    </row>
    <row r="196" spans="1:10">
      <c r="A196" s="128"/>
      <c r="B196" s="129"/>
      <c r="C196" s="129"/>
      <c r="D196" s="129"/>
      <c r="E196" s="129"/>
      <c r="F196" s="129"/>
      <c r="G196" s="129"/>
      <c r="H196" s="129"/>
      <c r="I196" s="129"/>
      <c r="J196" s="129"/>
    </row>
    <row r="197" spans="1:10">
      <c r="A197" s="128"/>
      <c r="B197" s="129"/>
      <c r="C197" s="129"/>
      <c r="D197" s="129"/>
      <c r="E197" s="129"/>
      <c r="F197" s="129"/>
      <c r="G197" s="129"/>
      <c r="H197" s="129"/>
      <c r="I197" s="129"/>
      <c r="J197" s="129"/>
    </row>
    <row r="198" spans="1:10">
      <c r="A198" s="128"/>
      <c r="B198" s="129"/>
      <c r="C198" s="129"/>
      <c r="D198" s="129"/>
      <c r="E198" s="129"/>
      <c r="F198" s="129"/>
      <c r="G198" s="129"/>
      <c r="H198" s="129"/>
      <c r="I198" s="129"/>
      <c r="J198" s="129"/>
    </row>
    <row r="199" spans="1:10">
      <c r="A199" s="128"/>
      <c r="B199" s="129"/>
      <c r="C199" s="129"/>
      <c r="D199" s="129"/>
      <c r="E199" s="129"/>
      <c r="F199" s="129"/>
      <c r="G199" s="129"/>
      <c r="H199" s="129"/>
      <c r="I199" s="129"/>
      <c r="J199" s="129"/>
    </row>
    <row r="200" spans="1:10">
      <c r="A200" s="128"/>
      <c r="B200" s="129"/>
      <c r="C200" s="129"/>
      <c r="D200" s="129"/>
      <c r="E200" s="129"/>
      <c r="F200" s="129"/>
      <c r="G200" s="129"/>
      <c r="H200" s="129"/>
      <c r="I200" s="129"/>
      <c r="J200" s="129"/>
    </row>
    <row r="201" spans="1:10">
      <c r="A201" s="128"/>
      <c r="B201" s="129"/>
      <c r="C201" s="129"/>
      <c r="D201" s="129"/>
      <c r="E201" s="129"/>
      <c r="F201" s="129"/>
      <c r="G201" s="129"/>
      <c r="H201" s="129"/>
      <c r="I201" s="129"/>
      <c r="J201" s="129"/>
    </row>
    <row r="202" spans="1:10">
      <c r="A202" s="128"/>
      <c r="B202" s="129"/>
      <c r="C202" s="129"/>
      <c r="D202" s="129"/>
      <c r="E202" s="129"/>
      <c r="F202" s="129"/>
      <c r="G202" s="129"/>
      <c r="H202" s="129"/>
      <c r="I202" s="129"/>
      <c r="J202" s="129"/>
    </row>
    <row r="203" spans="1:10">
      <c r="A203" s="128"/>
      <c r="B203" s="129"/>
      <c r="C203" s="129"/>
      <c r="D203" s="129"/>
      <c r="E203" s="129"/>
      <c r="F203" s="129"/>
      <c r="G203" s="129"/>
      <c r="H203" s="129"/>
      <c r="I203" s="129"/>
      <c r="J203" s="129"/>
    </row>
    <row r="204" spans="1:10">
      <c r="A204" s="128"/>
      <c r="B204" s="129"/>
      <c r="C204" s="129"/>
      <c r="D204" s="129"/>
      <c r="E204" s="129"/>
      <c r="F204" s="129"/>
      <c r="G204" s="129"/>
      <c r="H204" s="129"/>
      <c r="I204" s="129"/>
      <c r="J204" s="129"/>
    </row>
    <row r="205" spans="1:10">
      <c r="A205" s="128"/>
      <c r="B205" s="129"/>
      <c r="C205" s="129"/>
      <c r="D205" s="129"/>
      <c r="E205" s="129"/>
      <c r="F205" s="129"/>
      <c r="G205" s="129"/>
      <c r="H205" s="129"/>
      <c r="I205" s="129"/>
      <c r="J205" s="129"/>
    </row>
    <row r="206" spans="1:10">
      <c r="A206" s="128"/>
      <c r="B206" s="129"/>
      <c r="C206" s="129"/>
      <c r="D206" s="129"/>
      <c r="E206" s="129"/>
      <c r="F206" s="129"/>
      <c r="G206" s="129"/>
      <c r="H206" s="129"/>
      <c r="I206" s="129"/>
      <c r="J206" s="129"/>
    </row>
    <row r="207" spans="1:10">
      <c r="A207" s="128"/>
      <c r="B207" s="129"/>
      <c r="C207" s="129"/>
      <c r="D207" s="129"/>
      <c r="E207" s="129"/>
      <c r="F207" s="129"/>
      <c r="G207" s="129"/>
      <c r="H207" s="129"/>
      <c r="I207" s="129"/>
      <c r="J207" s="129"/>
    </row>
    <row r="208" spans="1:10">
      <c r="A208" s="128"/>
      <c r="B208" s="129"/>
      <c r="C208" s="129"/>
      <c r="D208" s="129"/>
      <c r="E208" s="129"/>
      <c r="F208" s="129"/>
      <c r="G208" s="129"/>
      <c r="H208" s="129"/>
      <c r="I208" s="129"/>
      <c r="J208" s="129"/>
    </row>
    <row r="209" spans="1:10">
      <c r="A209" s="128"/>
      <c r="B209" s="129"/>
      <c r="C209" s="129"/>
      <c r="D209" s="129"/>
      <c r="E209" s="129"/>
      <c r="F209" s="129"/>
      <c r="G209" s="129"/>
      <c r="H209" s="129"/>
      <c r="I209" s="129"/>
      <c r="J209" s="129"/>
    </row>
    <row r="210" spans="1:10">
      <c r="A210" s="128"/>
      <c r="B210" s="129"/>
      <c r="C210" s="129"/>
      <c r="D210" s="129"/>
      <c r="E210" s="129"/>
      <c r="F210" s="129"/>
      <c r="G210" s="129"/>
      <c r="H210" s="129"/>
      <c r="I210" s="129"/>
      <c r="J210" s="129"/>
    </row>
    <row r="211" spans="1:10">
      <c r="A211" s="128"/>
      <c r="B211" s="129"/>
      <c r="C211" s="129"/>
      <c r="D211" s="129"/>
      <c r="E211" s="129"/>
      <c r="F211" s="129"/>
      <c r="G211" s="129"/>
      <c r="H211" s="129"/>
      <c r="I211" s="129"/>
      <c r="J211" s="129"/>
    </row>
    <row r="212" spans="1:10">
      <c r="A212" s="128"/>
      <c r="B212" s="129"/>
      <c r="C212" s="129"/>
      <c r="D212" s="129"/>
      <c r="E212" s="129"/>
      <c r="F212" s="129"/>
      <c r="G212" s="129"/>
      <c r="H212" s="129"/>
      <c r="I212" s="129"/>
      <c r="J212" s="129"/>
    </row>
    <row r="213" spans="1:10">
      <c r="A213" s="128"/>
      <c r="B213" s="129"/>
      <c r="C213" s="129"/>
      <c r="D213" s="129"/>
      <c r="E213" s="129"/>
      <c r="F213" s="129"/>
      <c r="G213" s="129"/>
      <c r="H213" s="129"/>
      <c r="I213" s="129"/>
      <c r="J213" s="129"/>
    </row>
    <row r="214" spans="1:10">
      <c r="A214" s="128"/>
      <c r="B214" s="129"/>
      <c r="C214" s="129"/>
      <c r="D214" s="129"/>
      <c r="E214" s="129"/>
      <c r="F214" s="129"/>
      <c r="G214" s="129"/>
      <c r="H214" s="129"/>
      <c r="I214" s="129"/>
      <c r="J214" s="129"/>
    </row>
    <row r="215" spans="1:10">
      <c r="A215" s="128"/>
      <c r="B215" s="129"/>
      <c r="C215" s="129"/>
      <c r="D215" s="129"/>
      <c r="E215" s="129"/>
      <c r="F215" s="129"/>
      <c r="G215" s="129"/>
      <c r="H215" s="129"/>
      <c r="I215" s="129"/>
      <c r="J215" s="129"/>
    </row>
    <row r="216" spans="1:10">
      <c r="A216" s="128"/>
      <c r="B216" s="129"/>
      <c r="C216" s="129"/>
      <c r="D216" s="129"/>
      <c r="E216" s="129"/>
      <c r="F216" s="129"/>
      <c r="G216" s="129"/>
      <c r="H216" s="129"/>
      <c r="I216" s="129"/>
      <c r="J216" s="129"/>
    </row>
    <row r="217" spans="1:10">
      <c r="A217" s="128"/>
      <c r="B217" s="129"/>
      <c r="C217" s="129"/>
      <c r="D217" s="129"/>
      <c r="E217" s="129"/>
      <c r="F217" s="129"/>
      <c r="G217" s="129"/>
      <c r="H217" s="129"/>
      <c r="I217" s="129"/>
      <c r="J217" s="129"/>
    </row>
    <row r="218" spans="1:10">
      <c r="A218" s="128"/>
      <c r="B218" s="129"/>
      <c r="C218" s="129"/>
      <c r="D218" s="129"/>
      <c r="E218" s="129"/>
      <c r="F218" s="129"/>
      <c r="G218" s="129"/>
      <c r="H218" s="129"/>
      <c r="I218" s="129"/>
      <c r="J218" s="129"/>
    </row>
    <row r="219" spans="1:10">
      <c r="A219" s="128"/>
      <c r="B219" s="129"/>
      <c r="C219" s="129"/>
      <c r="D219" s="129"/>
      <c r="E219" s="129"/>
      <c r="F219" s="129"/>
      <c r="G219" s="129"/>
      <c r="H219" s="129"/>
      <c r="I219" s="129"/>
      <c r="J219" s="129"/>
    </row>
    <row r="220" spans="1:10">
      <c r="A220" s="128"/>
      <c r="B220" s="129"/>
      <c r="C220" s="129"/>
      <c r="D220" s="129"/>
      <c r="E220" s="129"/>
      <c r="F220" s="129"/>
      <c r="G220" s="129"/>
      <c r="H220" s="129"/>
      <c r="I220" s="129"/>
      <c r="J220" s="129"/>
    </row>
    <row r="221" spans="1:10">
      <c r="A221" s="128"/>
      <c r="B221" s="129"/>
      <c r="C221" s="129"/>
      <c r="D221" s="129"/>
      <c r="E221" s="129"/>
      <c r="F221" s="129"/>
      <c r="G221" s="129"/>
      <c r="H221" s="129"/>
      <c r="I221" s="129"/>
      <c r="J221" s="129"/>
    </row>
    <row r="222" spans="1:10">
      <c r="A222" s="128"/>
      <c r="B222" s="129"/>
      <c r="C222" s="129"/>
      <c r="D222" s="129"/>
      <c r="E222" s="129"/>
      <c r="F222" s="129"/>
      <c r="G222" s="129"/>
      <c r="H222" s="129"/>
      <c r="I222" s="129"/>
      <c r="J222" s="129"/>
    </row>
    <row r="223" spans="1:10">
      <c r="A223" s="128"/>
      <c r="B223" s="129"/>
      <c r="C223" s="129"/>
      <c r="D223" s="129"/>
      <c r="E223" s="129"/>
      <c r="F223" s="129"/>
      <c r="G223" s="129"/>
      <c r="H223" s="129"/>
      <c r="I223" s="129"/>
      <c r="J223" s="129"/>
    </row>
    <row r="224" spans="1:10">
      <c r="A224" s="128"/>
      <c r="B224" s="129"/>
      <c r="C224" s="129"/>
      <c r="D224" s="129"/>
      <c r="E224" s="129"/>
      <c r="F224" s="129"/>
      <c r="G224" s="129"/>
      <c r="H224" s="129"/>
      <c r="I224" s="129"/>
      <c r="J224" s="129"/>
    </row>
    <row r="225" spans="1:10">
      <c r="A225" s="128"/>
      <c r="B225" s="129"/>
      <c r="C225" s="129"/>
      <c r="D225" s="129"/>
      <c r="E225" s="129"/>
      <c r="F225" s="129"/>
      <c r="G225" s="129"/>
      <c r="H225" s="129"/>
      <c r="I225" s="129"/>
      <c r="J225" s="129"/>
    </row>
    <row r="226" spans="1:10">
      <c r="A226" s="128"/>
      <c r="B226" s="129"/>
      <c r="C226" s="129"/>
      <c r="D226" s="129"/>
      <c r="E226" s="129"/>
      <c r="F226" s="129"/>
      <c r="G226" s="129"/>
      <c r="H226" s="129"/>
      <c r="I226" s="129"/>
      <c r="J226" s="129"/>
    </row>
    <row r="227" spans="1:10">
      <c r="A227" s="128"/>
      <c r="B227" s="129"/>
      <c r="C227" s="129"/>
      <c r="D227" s="129"/>
      <c r="E227" s="129"/>
      <c r="F227" s="129"/>
      <c r="G227" s="129"/>
      <c r="H227" s="129"/>
      <c r="I227" s="129"/>
      <c r="J227" s="129"/>
    </row>
    <row r="228" spans="1:10">
      <c r="A228" s="128"/>
      <c r="B228" s="129"/>
      <c r="C228" s="129"/>
      <c r="D228" s="129"/>
      <c r="E228" s="129"/>
      <c r="F228" s="129"/>
      <c r="G228" s="129"/>
      <c r="H228" s="129"/>
      <c r="I228" s="129"/>
      <c r="J228" s="129"/>
    </row>
    <row r="229" spans="1:10">
      <c r="A229" s="128"/>
      <c r="B229" s="129"/>
      <c r="C229" s="129"/>
      <c r="D229" s="129"/>
      <c r="E229" s="129"/>
      <c r="F229" s="129"/>
      <c r="G229" s="129"/>
      <c r="H229" s="129"/>
      <c r="I229" s="129"/>
      <c r="J229" s="129"/>
    </row>
    <row r="230" spans="1:10">
      <c r="A230" s="128"/>
      <c r="B230" s="129"/>
      <c r="C230" s="129"/>
      <c r="D230" s="129"/>
      <c r="E230" s="129"/>
      <c r="F230" s="129"/>
      <c r="G230" s="129"/>
      <c r="H230" s="129"/>
      <c r="I230" s="129"/>
      <c r="J230" s="129"/>
    </row>
    <row r="231" spans="1:10">
      <c r="A231" s="128"/>
      <c r="B231" s="129"/>
      <c r="C231" s="129"/>
      <c r="D231" s="129"/>
      <c r="E231" s="129"/>
      <c r="F231" s="129"/>
      <c r="G231" s="129"/>
      <c r="H231" s="129"/>
      <c r="I231" s="129"/>
      <c r="J231" s="129"/>
    </row>
    <row r="232" spans="1:10">
      <c r="A232" s="128"/>
      <c r="B232" s="129"/>
      <c r="C232" s="129"/>
      <c r="D232" s="129"/>
      <c r="E232" s="129"/>
      <c r="F232" s="129"/>
      <c r="G232" s="129"/>
      <c r="H232" s="129"/>
      <c r="I232" s="129"/>
      <c r="J232" s="129"/>
    </row>
    <row r="233" spans="1:10">
      <c r="A233" s="128"/>
      <c r="B233" s="129"/>
      <c r="C233" s="129"/>
      <c r="D233" s="129"/>
      <c r="E233" s="129"/>
      <c r="F233" s="129"/>
      <c r="G233" s="129"/>
      <c r="H233" s="129"/>
      <c r="I233" s="129"/>
      <c r="J233" s="129"/>
    </row>
    <row r="234" spans="1:10">
      <c r="A234" s="128"/>
      <c r="B234" s="129"/>
      <c r="C234" s="129"/>
      <c r="D234" s="129"/>
      <c r="E234" s="129"/>
      <c r="F234" s="129"/>
      <c r="G234" s="129"/>
      <c r="H234" s="129"/>
      <c r="I234" s="129"/>
      <c r="J234" s="129"/>
    </row>
    <row r="235" spans="1:10">
      <c r="A235" s="128"/>
      <c r="B235" s="129"/>
      <c r="C235" s="129"/>
      <c r="D235" s="129"/>
      <c r="E235" s="129"/>
      <c r="F235" s="129"/>
      <c r="G235" s="129"/>
      <c r="H235" s="129"/>
      <c r="I235" s="129"/>
      <c r="J235" s="129"/>
    </row>
    <row r="236" spans="1:10">
      <c r="A236" s="128"/>
      <c r="B236" s="129"/>
      <c r="C236" s="129"/>
      <c r="D236" s="129"/>
      <c r="E236" s="129"/>
      <c r="F236" s="129"/>
      <c r="G236" s="129"/>
      <c r="H236" s="129"/>
      <c r="I236" s="129"/>
      <c r="J236" s="129"/>
    </row>
    <row r="237" spans="1:10">
      <c r="A237" s="128"/>
      <c r="B237" s="129"/>
      <c r="C237" s="129"/>
      <c r="D237" s="129"/>
      <c r="E237" s="129"/>
      <c r="F237" s="129"/>
      <c r="G237" s="129"/>
      <c r="H237" s="129"/>
      <c r="I237" s="129"/>
      <c r="J237" s="129"/>
    </row>
    <row r="238" spans="1:10">
      <c r="A238" s="128"/>
      <c r="B238" s="129"/>
      <c r="C238" s="129"/>
      <c r="D238" s="129"/>
      <c r="E238" s="129"/>
      <c r="F238" s="129"/>
      <c r="G238" s="129"/>
      <c r="H238" s="129"/>
      <c r="I238" s="129"/>
      <c r="J238" s="129"/>
    </row>
    <row r="239" spans="1:10">
      <c r="A239" s="128"/>
      <c r="B239" s="129"/>
      <c r="C239" s="129"/>
      <c r="D239" s="129"/>
      <c r="E239" s="129"/>
      <c r="F239" s="129"/>
      <c r="G239" s="129"/>
      <c r="H239" s="129"/>
      <c r="I239" s="129"/>
      <c r="J239" s="129"/>
    </row>
    <row r="240" spans="1:10">
      <c r="A240" s="128"/>
      <c r="B240" s="129"/>
      <c r="C240" s="129"/>
      <c r="D240" s="129"/>
      <c r="E240" s="129"/>
      <c r="F240" s="129"/>
      <c r="G240" s="129"/>
      <c r="H240" s="129"/>
      <c r="I240" s="129"/>
      <c r="J240" s="129"/>
    </row>
    <row r="241" spans="1:10">
      <c r="A241" s="128"/>
      <c r="B241" s="129"/>
      <c r="C241" s="129"/>
      <c r="D241" s="129"/>
      <c r="E241" s="129"/>
      <c r="F241" s="129"/>
      <c r="G241" s="129"/>
      <c r="H241" s="129"/>
      <c r="I241" s="129"/>
      <c r="J241" s="129"/>
    </row>
    <row r="242" spans="1:10">
      <c r="A242" s="128"/>
      <c r="B242" s="129"/>
      <c r="C242" s="129"/>
      <c r="D242" s="129"/>
      <c r="E242" s="129"/>
      <c r="F242" s="129"/>
      <c r="G242" s="129"/>
      <c r="H242" s="129"/>
      <c r="I242" s="129"/>
      <c r="J242" s="129"/>
    </row>
    <row r="243" spans="1:10">
      <c r="A243" s="128"/>
      <c r="B243" s="129"/>
      <c r="C243" s="129"/>
      <c r="D243" s="129"/>
      <c r="E243" s="129"/>
      <c r="F243" s="129"/>
      <c r="G243" s="129"/>
      <c r="H243" s="129"/>
      <c r="I243" s="129"/>
      <c r="J243" s="129"/>
    </row>
    <row r="244" spans="1:10">
      <c r="A244" s="128"/>
      <c r="B244" s="129"/>
      <c r="C244" s="129"/>
      <c r="D244" s="129"/>
      <c r="E244" s="129"/>
      <c r="F244" s="129"/>
      <c r="G244" s="129"/>
      <c r="H244" s="129"/>
      <c r="I244" s="129"/>
      <c r="J244" s="129"/>
    </row>
    <row r="245" spans="1:10">
      <c r="A245" s="128"/>
      <c r="B245" s="129"/>
      <c r="C245" s="129"/>
      <c r="D245" s="129"/>
      <c r="E245" s="129"/>
      <c r="F245" s="129"/>
      <c r="G245" s="129"/>
      <c r="H245" s="129"/>
      <c r="I245" s="129"/>
      <c r="J245" s="129"/>
    </row>
    <row r="246" spans="1:10">
      <c r="A246" s="128"/>
      <c r="B246" s="129"/>
      <c r="C246" s="129"/>
      <c r="D246" s="129"/>
      <c r="E246" s="129"/>
      <c r="F246" s="129"/>
      <c r="G246" s="129"/>
      <c r="H246" s="129"/>
      <c r="I246" s="129"/>
      <c r="J246" s="129"/>
    </row>
    <row r="247" spans="1:10">
      <c r="A247" s="128"/>
      <c r="B247" s="129"/>
      <c r="C247" s="129"/>
      <c r="D247" s="129"/>
      <c r="E247" s="129"/>
      <c r="F247" s="129"/>
      <c r="G247" s="129"/>
      <c r="H247" s="129"/>
      <c r="I247" s="129"/>
      <c r="J247" s="129"/>
    </row>
    <row r="248" spans="1:10">
      <c r="A248" s="128"/>
      <c r="B248" s="129"/>
      <c r="C248" s="129"/>
      <c r="D248" s="129"/>
      <c r="E248" s="129"/>
      <c r="F248" s="129"/>
      <c r="G248" s="129"/>
      <c r="H248" s="129"/>
      <c r="I248" s="129"/>
      <c r="J248" s="129"/>
    </row>
    <row r="249" spans="1:10">
      <c r="A249" s="128"/>
      <c r="B249" s="129"/>
      <c r="C249" s="129"/>
      <c r="D249" s="129"/>
      <c r="E249" s="129"/>
      <c r="F249" s="129"/>
      <c r="G249" s="129"/>
      <c r="H249" s="129"/>
      <c r="I249" s="129"/>
      <c r="J249" s="129"/>
    </row>
    <row r="250" spans="1:10">
      <c r="A250" s="128"/>
      <c r="B250" s="129"/>
      <c r="C250" s="129"/>
      <c r="D250" s="129"/>
      <c r="E250" s="129"/>
      <c r="F250" s="129"/>
      <c r="G250" s="129"/>
      <c r="H250" s="129"/>
      <c r="I250" s="129"/>
      <c r="J250" s="129"/>
    </row>
    <row r="251" spans="1:10">
      <c r="A251" s="128"/>
      <c r="B251" s="129"/>
      <c r="C251" s="129"/>
      <c r="D251" s="129"/>
      <c r="E251" s="129"/>
      <c r="F251" s="129"/>
      <c r="G251" s="129"/>
      <c r="H251" s="129"/>
      <c r="I251" s="129"/>
      <c r="J251" s="129"/>
    </row>
    <row r="252" spans="1:10">
      <c r="A252" s="128"/>
      <c r="B252" s="129"/>
      <c r="C252" s="129"/>
      <c r="D252" s="129"/>
      <c r="E252" s="129"/>
      <c r="F252" s="129"/>
      <c r="G252" s="129"/>
      <c r="H252" s="129"/>
      <c r="I252" s="129"/>
      <c r="J252" s="129"/>
    </row>
    <row r="253" spans="1:10">
      <c r="A253" s="128"/>
      <c r="B253" s="129"/>
      <c r="C253" s="129"/>
      <c r="D253" s="129"/>
      <c r="E253" s="129"/>
      <c r="F253" s="129"/>
      <c r="G253" s="129"/>
      <c r="H253" s="129"/>
      <c r="I253" s="129"/>
      <c r="J253" s="129"/>
    </row>
    <row r="254" spans="1:10">
      <c r="A254" s="128"/>
      <c r="B254" s="129"/>
      <c r="C254" s="129"/>
      <c r="D254" s="129"/>
      <c r="E254" s="129"/>
      <c r="F254" s="129"/>
      <c r="G254" s="129"/>
      <c r="H254" s="129"/>
      <c r="I254" s="129"/>
      <c r="J254" s="129"/>
    </row>
    <row r="255" spans="1:10">
      <c r="A255" s="128"/>
      <c r="B255" s="129"/>
      <c r="C255" s="129"/>
      <c r="D255" s="129"/>
      <c r="E255" s="129"/>
      <c r="F255" s="129"/>
      <c r="G255" s="129"/>
      <c r="H255" s="129"/>
      <c r="I255" s="129"/>
      <c r="J255" s="129"/>
    </row>
    <row r="256" spans="1:10">
      <c r="A256" s="128"/>
      <c r="B256" s="129"/>
      <c r="C256" s="129"/>
      <c r="D256" s="129"/>
      <c r="E256" s="129"/>
      <c r="F256" s="129"/>
      <c r="G256" s="129"/>
      <c r="H256" s="129"/>
      <c r="I256" s="129"/>
      <c r="J256" s="129"/>
    </row>
    <row r="257" spans="1:10">
      <c r="A257" s="128"/>
      <c r="B257" s="129"/>
      <c r="C257" s="129"/>
      <c r="D257" s="129"/>
      <c r="E257" s="129"/>
      <c r="F257" s="129"/>
      <c r="G257" s="129"/>
      <c r="H257" s="129"/>
      <c r="I257" s="129"/>
      <c r="J257" s="129"/>
    </row>
    <row r="258" spans="1:10">
      <c r="A258" s="128"/>
      <c r="B258" s="129"/>
      <c r="C258" s="129"/>
      <c r="D258" s="129"/>
      <c r="E258" s="129"/>
      <c r="F258" s="129"/>
      <c r="G258" s="129"/>
      <c r="H258" s="129"/>
      <c r="I258" s="129"/>
      <c r="J258" s="129"/>
    </row>
    <row r="259" spans="1:10">
      <c r="A259" s="128"/>
      <c r="B259" s="129"/>
      <c r="C259" s="129"/>
      <c r="D259" s="129"/>
      <c r="E259" s="129"/>
      <c r="F259" s="129"/>
      <c r="G259" s="129"/>
      <c r="H259" s="129"/>
      <c r="I259" s="129"/>
      <c r="J259" s="129"/>
    </row>
    <row r="260" spans="1:10">
      <c r="A260" s="128"/>
      <c r="B260" s="129"/>
      <c r="C260" s="129"/>
      <c r="D260" s="129"/>
      <c r="E260" s="129"/>
      <c r="F260" s="129"/>
      <c r="G260" s="129"/>
      <c r="H260" s="129"/>
      <c r="I260" s="129"/>
      <c r="J260" s="129"/>
    </row>
    <row r="261" spans="1:10">
      <c r="A261" s="128"/>
      <c r="B261" s="129"/>
      <c r="C261" s="129"/>
      <c r="D261" s="129"/>
      <c r="E261" s="129"/>
      <c r="F261" s="129"/>
      <c r="G261" s="129"/>
      <c r="H261" s="129"/>
      <c r="I261" s="129"/>
      <c r="J261" s="129"/>
    </row>
    <row r="262" spans="1:10">
      <c r="A262" s="128"/>
      <c r="B262" s="129"/>
      <c r="C262" s="129"/>
      <c r="D262" s="129"/>
      <c r="E262" s="129"/>
      <c r="F262" s="129"/>
      <c r="G262" s="129"/>
      <c r="H262" s="129"/>
      <c r="I262" s="129"/>
      <c r="J262" s="129"/>
    </row>
    <row r="263" spans="1:10">
      <c r="A263" s="128"/>
      <c r="B263" s="129"/>
      <c r="C263" s="129"/>
      <c r="D263" s="129"/>
      <c r="E263" s="129"/>
      <c r="F263" s="129"/>
      <c r="G263" s="129"/>
      <c r="H263" s="129"/>
      <c r="I263" s="129"/>
      <c r="J263" s="129"/>
    </row>
    <row r="264" spans="1:10">
      <c r="A264" s="128"/>
      <c r="B264" s="129"/>
      <c r="C264" s="129"/>
      <c r="D264" s="129"/>
      <c r="E264" s="129"/>
      <c r="F264" s="129"/>
      <c r="G264" s="129"/>
      <c r="H264" s="129"/>
      <c r="I264" s="129"/>
      <c r="J264" s="129"/>
    </row>
    <row r="265" spans="1:10">
      <c r="A265" s="128"/>
      <c r="B265" s="129"/>
      <c r="C265" s="129"/>
      <c r="D265" s="129"/>
      <c r="E265" s="129"/>
      <c r="F265" s="129"/>
      <c r="G265" s="129"/>
      <c r="H265" s="129"/>
      <c r="I265" s="129"/>
      <c r="J265" s="129"/>
    </row>
    <row r="266" spans="1:10">
      <c r="A266" s="128"/>
      <c r="B266" s="129"/>
      <c r="C266" s="129"/>
      <c r="D266" s="129"/>
      <c r="E266" s="129"/>
      <c r="F266" s="129"/>
      <c r="G266" s="129"/>
      <c r="H266" s="129"/>
      <c r="I266" s="129"/>
      <c r="J266" s="129"/>
    </row>
    <row r="267" spans="1:10">
      <c r="A267" s="128"/>
      <c r="B267" s="129"/>
      <c r="C267" s="129"/>
      <c r="D267" s="129"/>
      <c r="E267" s="129"/>
      <c r="F267" s="129"/>
      <c r="G267" s="129"/>
      <c r="H267" s="129"/>
      <c r="I267" s="129"/>
      <c r="J267" s="129"/>
    </row>
    <row r="268" spans="1:10">
      <c r="A268" s="128"/>
      <c r="B268" s="129"/>
      <c r="C268" s="129"/>
      <c r="D268" s="129"/>
      <c r="E268" s="129"/>
      <c r="F268" s="129"/>
      <c r="G268" s="129"/>
      <c r="H268" s="129"/>
      <c r="I268" s="129"/>
      <c r="J268" s="129"/>
    </row>
    <row r="269" spans="1:10">
      <c r="A269" s="128"/>
      <c r="B269" s="129"/>
      <c r="C269" s="129"/>
      <c r="D269" s="129"/>
      <c r="E269" s="129"/>
      <c r="F269" s="129"/>
      <c r="G269" s="129"/>
      <c r="H269" s="129"/>
      <c r="I269" s="129"/>
      <c r="J269" s="129"/>
    </row>
    <row r="270" spans="1:10">
      <c r="A270" s="128"/>
      <c r="B270" s="129"/>
      <c r="C270" s="129"/>
      <c r="D270" s="129"/>
      <c r="E270" s="129"/>
      <c r="F270" s="129"/>
      <c r="G270" s="129"/>
      <c r="H270" s="129"/>
      <c r="I270" s="129"/>
      <c r="J270" s="129"/>
    </row>
    <row r="271" spans="1:10">
      <c r="A271" s="128"/>
      <c r="B271" s="129"/>
      <c r="C271" s="129"/>
      <c r="D271" s="129"/>
      <c r="E271" s="129"/>
      <c r="F271" s="129"/>
      <c r="G271" s="129"/>
      <c r="H271" s="129"/>
      <c r="I271" s="129"/>
      <c r="J271" s="129"/>
    </row>
    <row r="272" spans="1:10">
      <c r="A272" s="128"/>
      <c r="B272" s="129"/>
      <c r="C272" s="129"/>
      <c r="D272" s="129"/>
      <c r="E272" s="129"/>
      <c r="F272" s="129"/>
      <c r="G272" s="129"/>
      <c r="H272" s="129"/>
      <c r="I272" s="129"/>
      <c r="J272" s="129"/>
    </row>
    <row r="273" spans="1:10">
      <c r="A273" s="128"/>
      <c r="B273" s="129"/>
      <c r="C273" s="129"/>
      <c r="D273" s="129"/>
      <c r="E273" s="129"/>
      <c r="F273" s="129"/>
      <c r="G273" s="129"/>
      <c r="H273" s="129"/>
      <c r="I273" s="129"/>
      <c r="J273" s="129"/>
    </row>
    <row r="274" spans="1:10">
      <c r="A274" s="128"/>
      <c r="B274" s="129"/>
      <c r="C274" s="129"/>
      <c r="D274" s="129"/>
      <c r="E274" s="129"/>
      <c r="F274" s="129"/>
      <c r="G274" s="129"/>
      <c r="H274" s="129"/>
      <c r="I274" s="129"/>
      <c r="J274" s="129"/>
    </row>
    <row r="275" spans="1:10">
      <c r="A275" s="128"/>
      <c r="B275" s="129"/>
      <c r="C275" s="129"/>
      <c r="D275" s="129"/>
      <c r="E275" s="129"/>
      <c r="F275" s="129"/>
      <c r="G275" s="129"/>
      <c r="H275" s="129"/>
      <c r="I275" s="129"/>
      <c r="J275" s="129"/>
    </row>
    <row r="276" spans="1:10">
      <c r="A276" s="128"/>
      <c r="B276" s="129"/>
      <c r="C276" s="129"/>
      <c r="D276" s="129"/>
      <c r="E276" s="129"/>
      <c r="F276" s="129"/>
      <c r="G276" s="129"/>
      <c r="H276" s="129"/>
      <c r="I276" s="129"/>
      <c r="J276" s="129"/>
    </row>
    <row r="277" spans="1:10">
      <c r="A277" s="128"/>
      <c r="B277" s="129"/>
      <c r="C277" s="129"/>
      <c r="D277" s="129"/>
      <c r="E277" s="129"/>
      <c r="F277" s="129"/>
      <c r="G277" s="129"/>
      <c r="H277" s="129"/>
      <c r="I277" s="129"/>
      <c r="J277" s="129"/>
    </row>
    <row r="278" spans="1:10">
      <c r="A278" s="128"/>
      <c r="B278" s="129"/>
      <c r="C278" s="129"/>
      <c r="D278" s="129"/>
      <c r="E278" s="129"/>
      <c r="F278" s="129"/>
      <c r="G278" s="129"/>
      <c r="H278" s="129"/>
      <c r="I278" s="129"/>
      <c r="J278" s="129"/>
    </row>
    <row r="279" spans="1:10">
      <c r="A279" s="128"/>
      <c r="B279" s="129"/>
      <c r="C279" s="129"/>
      <c r="D279" s="129"/>
      <c r="E279" s="129"/>
      <c r="F279" s="129"/>
      <c r="G279" s="129"/>
      <c r="H279" s="129"/>
      <c r="I279" s="129"/>
      <c r="J279" s="129"/>
    </row>
    <row r="280" spans="1:10">
      <c r="A280" s="128"/>
      <c r="B280" s="129"/>
      <c r="C280" s="129"/>
      <c r="D280" s="129"/>
      <c r="E280" s="129"/>
      <c r="F280" s="129"/>
      <c r="G280" s="129"/>
      <c r="H280" s="129"/>
      <c r="I280" s="129"/>
      <c r="J280" s="129"/>
    </row>
    <row r="281" spans="1:10">
      <c r="A281" s="128"/>
      <c r="B281" s="129"/>
      <c r="C281" s="129"/>
      <c r="D281" s="129"/>
      <c r="E281" s="129"/>
      <c r="F281" s="129"/>
      <c r="G281" s="129"/>
      <c r="H281" s="129"/>
      <c r="I281" s="129"/>
      <c r="J281" s="129"/>
    </row>
    <row r="282" spans="1:10">
      <c r="A282" s="128"/>
      <c r="B282" s="129"/>
      <c r="C282" s="129"/>
      <c r="D282" s="129"/>
      <c r="E282" s="129"/>
      <c r="F282" s="129"/>
      <c r="G282" s="129"/>
      <c r="H282" s="129"/>
      <c r="I282" s="129"/>
      <c r="J282" s="129"/>
    </row>
    <row r="283" spans="1:10">
      <c r="A283" s="128"/>
      <c r="B283" s="129"/>
      <c r="C283" s="129"/>
      <c r="D283" s="129"/>
      <c r="E283" s="129"/>
      <c r="F283" s="129"/>
      <c r="G283" s="129"/>
      <c r="H283" s="129"/>
      <c r="I283" s="129"/>
      <c r="J283" s="129"/>
    </row>
    <row r="284" spans="1:10">
      <c r="A284" s="128"/>
      <c r="B284" s="129"/>
      <c r="C284" s="129"/>
      <c r="D284" s="129"/>
      <c r="E284" s="129"/>
      <c r="F284" s="129"/>
      <c r="G284" s="129"/>
      <c r="H284" s="129"/>
      <c r="I284" s="129"/>
      <c r="J284" s="129"/>
    </row>
    <row r="285" spans="1:10">
      <c r="A285" s="128"/>
      <c r="B285" s="129"/>
      <c r="C285" s="129"/>
      <c r="D285" s="129"/>
      <c r="E285" s="129"/>
      <c r="F285" s="129"/>
      <c r="G285" s="129"/>
      <c r="H285" s="129"/>
      <c r="I285" s="129"/>
      <c r="J285" s="129"/>
    </row>
    <row r="286" spans="1:10">
      <c r="A286" s="128"/>
      <c r="B286" s="129"/>
      <c r="C286" s="129"/>
      <c r="D286" s="129"/>
      <c r="E286" s="129"/>
      <c r="F286" s="129"/>
      <c r="G286" s="129"/>
      <c r="H286" s="129"/>
      <c r="I286" s="129"/>
      <c r="J286" s="129"/>
    </row>
    <row r="287" spans="1:10">
      <c r="A287" s="128"/>
      <c r="B287" s="129"/>
      <c r="C287" s="129"/>
      <c r="D287" s="129"/>
      <c r="E287" s="129"/>
      <c r="F287" s="129"/>
      <c r="G287" s="129"/>
      <c r="H287" s="129"/>
      <c r="I287" s="129"/>
      <c r="J287" s="129"/>
    </row>
    <row r="288" spans="1:10">
      <c r="A288" s="128"/>
      <c r="B288" s="129"/>
      <c r="C288" s="129"/>
      <c r="D288" s="129"/>
      <c r="E288" s="129"/>
      <c r="F288" s="129"/>
      <c r="G288" s="129"/>
      <c r="H288" s="129"/>
      <c r="I288" s="129"/>
      <c r="J288" s="129"/>
    </row>
    <row r="289" spans="1:10">
      <c r="A289" s="128"/>
      <c r="B289" s="129"/>
      <c r="C289" s="129"/>
      <c r="D289" s="129"/>
      <c r="E289" s="129"/>
      <c r="F289" s="129"/>
      <c r="G289" s="129"/>
      <c r="H289" s="129"/>
      <c r="I289" s="129"/>
      <c r="J289" s="129"/>
    </row>
    <row r="290" spans="1:10">
      <c r="A290" s="128"/>
      <c r="B290" s="129"/>
      <c r="C290" s="129"/>
      <c r="D290" s="129"/>
      <c r="E290" s="129"/>
      <c r="F290" s="129"/>
      <c r="G290" s="129"/>
      <c r="H290" s="129"/>
      <c r="I290" s="129"/>
      <c r="J290" s="129"/>
    </row>
    <row r="291" spans="1:10">
      <c r="A291" s="128"/>
      <c r="B291" s="129"/>
      <c r="C291" s="129"/>
      <c r="D291" s="129"/>
      <c r="E291" s="129"/>
      <c r="F291" s="129"/>
      <c r="G291" s="129"/>
      <c r="H291" s="129"/>
      <c r="I291" s="129"/>
      <c r="J291" s="129"/>
    </row>
    <row r="292" spans="1:10">
      <c r="A292" s="128"/>
      <c r="B292" s="129"/>
      <c r="C292" s="129"/>
      <c r="D292" s="129"/>
      <c r="E292" s="129"/>
      <c r="F292" s="129"/>
      <c r="G292" s="129"/>
      <c r="H292" s="129"/>
      <c r="I292" s="129"/>
      <c r="J292" s="129"/>
    </row>
    <row r="293" spans="1:10">
      <c r="A293" s="128"/>
      <c r="B293" s="129"/>
      <c r="C293" s="129"/>
      <c r="D293" s="129"/>
      <c r="E293" s="129"/>
      <c r="F293" s="129"/>
      <c r="G293" s="129"/>
      <c r="H293" s="129"/>
      <c r="I293" s="129"/>
      <c r="J293" s="129"/>
    </row>
    <row r="294" spans="1:10">
      <c r="A294" s="128"/>
      <c r="B294" s="129"/>
      <c r="C294" s="129"/>
      <c r="D294" s="129"/>
      <c r="E294" s="129"/>
      <c r="F294" s="129"/>
      <c r="G294" s="129"/>
      <c r="H294" s="129"/>
      <c r="I294" s="129"/>
      <c r="J294" s="129"/>
    </row>
    <row r="295" spans="1:10">
      <c r="A295" s="128"/>
      <c r="B295" s="129"/>
      <c r="C295" s="129"/>
      <c r="D295" s="129"/>
      <c r="E295" s="129"/>
      <c r="F295" s="129"/>
      <c r="G295" s="129"/>
      <c r="H295" s="129"/>
      <c r="I295" s="129"/>
      <c r="J295" s="129"/>
    </row>
    <row r="296" spans="1:10">
      <c r="A296" s="128"/>
      <c r="B296" s="129"/>
      <c r="C296" s="129"/>
      <c r="D296" s="129"/>
      <c r="E296" s="129"/>
      <c r="F296" s="129"/>
      <c r="G296" s="129"/>
      <c r="H296" s="129"/>
      <c r="I296" s="129"/>
      <c r="J296" s="129"/>
    </row>
    <row r="297" spans="1:10">
      <c r="A297" s="128"/>
      <c r="B297" s="129"/>
      <c r="C297" s="129"/>
      <c r="D297" s="129"/>
      <c r="E297" s="129"/>
      <c r="F297" s="129"/>
      <c r="G297" s="129"/>
      <c r="H297" s="129"/>
      <c r="I297" s="129"/>
      <c r="J297" s="129"/>
    </row>
    <row r="298" spans="1:10">
      <c r="A298" s="128"/>
      <c r="B298" s="129"/>
      <c r="C298" s="129"/>
      <c r="D298" s="129"/>
      <c r="E298" s="129"/>
      <c r="F298" s="129"/>
      <c r="G298" s="129"/>
      <c r="H298" s="129"/>
      <c r="I298" s="129"/>
      <c r="J298" s="129"/>
    </row>
    <row r="299" spans="1:10">
      <c r="A299" s="128"/>
      <c r="B299" s="129"/>
      <c r="C299" s="129"/>
      <c r="D299" s="129"/>
      <c r="E299" s="129"/>
      <c r="F299" s="129"/>
      <c r="G299" s="129"/>
      <c r="H299" s="129"/>
      <c r="I299" s="129"/>
      <c r="J299" s="129"/>
    </row>
    <row r="300" spans="1:10">
      <c r="A300" s="128"/>
      <c r="B300" s="129"/>
      <c r="C300" s="129"/>
      <c r="D300" s="129"/>
      <c r="E300" s="129"/>
      <c r="F300" s="129"/>
      <c r="G300" s="129"/>
      <c r="H300" s="129"/>
      <c r="I300" s="129"/>
      <c r="J300" s="129"/>
    </row>
    <row r="301" spans="1:10">
      <c r="A301" s="128"/>
      <c r="B301" s="129"/>
      <c r="C301" s="129"/>
      <c r="D301" s="129"/>
      <c r="E301" s="129"/>
      <c r="F301" s="129"/>
      <c r="G301" s="129"/>
      <c r="H301" s="129"/>
      <c r="I301" s="129"/>
      <c r="J301" s="129"/>
    </row>
    <row r="302" spans="1:10">
      <c r="A302" s="128"/>
      <c r="B302" s="129"/>
      <c r="C302" s="129"/>
      <c r="D302" s="129"/>
      <c r="E302" s="129"/>
      <c r="F302" s="129"/>
      <c r="G302" s="129"/>
      <c r="H302" s="129"/>
      <c r="I302" s="129"/>
      <c r="J302" s="129"/>
    </row>
    <row r="303" spans="1:10">
      <c r="A303" s="128"/>
      <c r="B303" s="129"/>
      <c r="C303" s="129"/>
      <c r="D303" s="129"/>
      <c r="E303" s="129"/>
      <c r="F303" s="129"/>
      <c r="G303" s="129"/>
      <c r="H303" s="129"/>
      <c r="I303" s="129"/>
      <c r="J303" s="129"/>
    </row>
    <row r="304" spans="1:10">
      <c r="A304" s="128"/>
      <c r="B304" s="129"/>
      <c r="C304" s="129"/>
      <c r="D304" s="129"/>
      <c r="E304" s="129"/>
      <c r="F304" s="129"/>
      <c r="G304" s="129"/>
      <c r="H304" s="129"/>
      <c r="I304" s="129"/>
      <c r="J304" s="129"/>
    </row>
    <row r="305" spans="1:10">
      <c r="A305" s="128"/>
      <c r="B305" s="129"/>
      <c r="C305" s="129"/>
      <c r="D305" s="129"/>
      <c r="E305" s="129"/>
      <c r="F305" s="129"/>
      <c r="G305" s="129"/>
      <c r="H305" s="129"/>
      <c r="I305" s="129"/>
      <c r="J305" s="129"/>
    </row>
    <row r="306" spans="1:10">
      <c r="A306" s="128"/>
      <c r="B306" s="129"/>
      <c r="C306" s="129"/>
      <c r="D306" s="129"/>
      <c r="E306" s="129"/>
      <c r="F306" s="129"/>
      <c r="G306" s="129"/>
      <c r="H306" s="129"/>
      <c r="I306" s="129"/>
      <c r="J306" s="129"/>
    </row>
    <row r="307" spans="1:10">
      <c r="A307" s="128"/>
      <c r="B307" s="129"/>
      <c r="C307" s="129"/>
      <c r="D307" s="129"/>
      <c r="E307" s="129"/>
      <c r="F307" s="129"/>
      <c r="G307" s="129"/>
      <c r="H307" s="129"/>
      <c r="I307" s="129"/>
      <c r="J307" s="129"/>
    </row>
    <row r="308" spans="1:10">
      <c r="A308" s="128"/>
      <c r="B308" s="129"/>
      <c r="C308" s="129"/>
      <c r="D308" s="129"/>
      <c r="E308" s="129"/>
      <c r="F308" s="129"/>
      <c r="G308" s="129"/>
      <c r="H308" s="129"/>
      <c r="I308" s="129"/>
      <c r="J308" s="129"/>
    </row>
    <row r="309" spans="1:10">
      <c r="A309" s="128"/>
      <c r="B309" s="129"/>
      <c r="C309" s="129"/>
      <c r="D309" s="129"/>
      <c r="E309" s="129"/>
      <c r="F309" s="129"/>
      <c r="G309" s="129"/>
      <c r="H309" s="129"/>
      <c r="I309" s="129"/>
      <c r="J309" s="129"/>
    </row>
    <row r="310" spans="1:10">
      <c r="A310" s="128"/>
      <c r="B310" s="129"/>
      <c r="C310" s="129"/>
      <c r="D310" s="129"/>
      <c r="E310" s="129"/>
      <c r="F310" s="129"/>
      <c r="G310" s="129"/>
      <c r="H310" s="129"/>
      <c r="I310" s="129"/>
      <c r="J310" s="129"/>
    </row>
    <row r="311" spans="1:10">
      <c r="A311" s="128"/>
      <c r="B311" s="129"/>
      <c r="C311" s="129"/>
      <c r="D311" s="129"/>
      <c r="E311" s="129"/>
      <c r="F311" s="129"/>
      <c r="G311" s="129"/>
      <c r="H311" s="129"/>
      <c r="I311" s="129"/>
      <c r="J311" s="129"/>
    </row>
    <row r="312" spans="1:10">
      <c r="A312" s="128"/>
      <c r="B312" s="129"/>
      <c r="C312" s="129"/>
      <c r="D312" s="129"/>
      <c r="E312" s="129"/>
      <c r="F312" s="129"/>
      <c r="G312" s="129"/>
      <c r="H312" s="129"/>
      <c r="I312" s="129"/>
      <c r="J312" s="129"/>
    </row>
    <row r="313" spans="1:10">
      <c r="A313" s="128"/>
      <c r="B313" s="129"/>
      <c r="C313" s="129"/>
      <c r="D313" s="129"/>
      <c r="E313" s="129"/>
      <c r="F313" s="129"/>
      <c r="G313" s="129"/>
      <c r="H313" s="129"/>
      <c r="I313" s="129"/>
      <c r="J313" s="129"/>
    </row>
    <row r="314" spans="1:10">
      <c r="A314" s="128"/>
      <c r="B314" s="129"/>
      <c r="C314" s="129"/>
      <c r="D314" s="129"/>
      <c r="E314" s="129"/>
      <c r="F314" s="129"/>
      <c r="G314" s="129"/>
      <c r="H314" s="129"/>
      <c r="I314" s="129"/>
      <c r="J314" s="129"/>
    </row>
    <row r="315" spans="1:10">
      <c r="A315" s="128"/>
      <c r="B315" s="129"/>
      <c r="C315" s="129"/>
      <c r="D315" s="129"/>
      <c r="E315" s="129"/>
      <c r="F315" s="129"/>
      <c r="G315" s="129"/>
      <c r="H315" s="129"/>
      <c r="I315" s="129"/>
      <c r="J315" s="129"/>
    </row>
    <row r="316" spans="1:10">
      <c r="A316" s="128"/>
      <c r="B316" s="129"/>
      <c r="C316" s="129"/>
      <c r="D316" s="129"/>
      <c r="E316" s="129"/>
      <c r="F316" s="129"/>
      <c r="G316" s="129"/>
      <c r="H316" s="129"/>
      <c r="I316" s="129"/>
      <c r="J316" s="129"/>
    </row>
    <row r="317" spans="1:10">
      <c r="A317" s="128"/>
      <c r="B317" s="129"/>
      <c r="C317" s="129"/>
      <c r="D317" s="129"/>
      <c r="E317" s="129"/>
      <c r="F317" s="129"/>
      <c r="G317" s="129"/>
      <c r="H317" s="129"/>
      <c r="I317" s="129"/>
      <c r="J317" s="129"/>
    </row>
    <row r="318" spans="1:10">
      <c r="A318" s="128"/>
      <c r="B318" s="129"/>
      <c r="C318" s="129"/>
      <c r="D318" s="129"/>
      <c r="E318" s="129"/>
      <c r="F318" s="129"/>
      <c r="G318" s="129"/>
      <c r="H318" s="129"/>
      <c r="I318" s="129"/>
      <c r="J318" s="129"/>
    </row>
    <row r="319" spans="1:10">
      <c r="A319" s="128"/>
      <c r="B319" s="129"/>
      <c r="C319" s="129"/>
      <c r="D319" s="129"/>
      <c r="E319" s="129"/>
      <c r="F319" s="129"/>
      <c r="G319" s="129"/>
      <c r="H319" s="129"/>
      <c r="I319" s="129"/>
      <c r="J319" s="129"/>
    </row>
    <row r="320" spans="1:10">
      <c r="A320" s="128"/>
      <c r="B320" s="129"/>
      <c r="C320" s="129"/>
      <c r="D320" s="129"/>
      <c r="E320" s="129"/>
      <c r="F320" s="129"/>
      <c r="G320" s="129"/>
      <c r="H320" s="129"/>
      <c r="I320" s="129"/>
      <c r="J320" s="129"/>
    </row>
    <row r="321" spans="1:10">
      <c r="A321" s="128"/>
      <c r="B321" s="129"/>
      <c r="C321" s="129"/>
      <c r="D321" s="129"/>
      <c r="E321" s="129"/>
      <c r="F321" s="129"/>
      <c r="G321" s="129"/>
      <c r="H321" s="129"/>
      <c r="I321" s="129"/>
      <c r="J321" s="129"/>
    </row>
    <row r="322" spans="1:10">
      <c r="A322" s="128"/>
      <c r="B322" s="129"/>
      <c r="C322" s="129"/>
      <c r="D322" s="129"/>
      <c r="E322" s="129"/>
      <c r="F322" s="129"/>
      <c r="G322" s="129"/>
      <c r="H322" s="129"/>
      <c r="I322" s="129"/>
      <c r="J322" s="129"/>
    </row>
    <row r="323" spans="1:10">
      <c r="A323" s="128"/>
      <c r="B323" s="129"/>
      <c r="C323" s="129"/>
      <c r="D323" s="129"/>
      <c r="E323" s="129"/>
      <c r="F323" s="129"/>
      <c r="G323" s="129"/>
      <c r="H323" s="129"/>
      <c r="I323" s="129"/>
      <c r="J323" s="129"/>
    </row>
    <row r="324" spans="1:10">
      <c r="A324" s="128"/>
      <c r="B324" s="129"/>
      <c r="C324" s="129"/>
      <c r="D324" s="129"/>
      <c r="E324" s="129"/>
      <c r="F324" s="129"/>
      <c r="G324" s="129"/>
      <c r="H324" s="129"/>
      <c r="I324" s="129"/>
      <c r="J324" s="129"/>
    </row>
    <row r="325" spans="1:10">
      <c r="A325" s="128"/>
      <c r="B325" s="129"/>
      <c r="C325" s="129"/>
      <c r="D325" s="129"/>
      <c r="E325" s="129"/>
      <c r="F325" s="129"/>
      <c r="G325" s="129"/>
      <c r="H325" s="129"/>
      <c r="I325" s="129"/>
      <c r="J325" s="129"/>
    </row>
    <row r="326" spans="1:10">
      <c r="A326" s="128"/>
      <c r="B326" s="129"/>
      <c r="C326" s="129"/>
      <c r="D326" s="129"/>
      <c r="E326" s="129"/>
      <c r="F326" s="129"/>
      <c r="G326" s="129"/>
      <c r="H326" s="129"/>
      <c r="I326" s="129"/>
      <c r="J326" s="129"/>
    </row>
    <row r="327" spans="1:10">
      <c r="A327" s="128"/>
      <c r="B327" s="129"/>
      <c r="C327" s="129"/>
      <c r="D327" s="129"/>
      <c r="E327" s="129"/>
      <c r="F327" s="129"/>
      <c r="G327" s="129"/>
      <c r="H327" s="129"/>
      <c r="I327" s="129"/>
      <c r="J327" s="129"/>
    </row>
    <row r="328" spans="1:10">
      <c r="A328" s="128"/>
      <c r="B328" s="129"/>
      <c r="C328" s="129"/>
      <c r="D328" s="129"/>
      <c r="E328" s="129"/>
      <c r="F328" s="129"/>
      <c r="G328" s="129"/>
      <c r="H328" s="129"/>
      <c r="I328" s="129"/>
      <c r="J328" s="129"/>
    </row>
    <row r="329" spans="1:10">
      <c r="A329" s="128"/>
      <c r="B329" s="129"/>
      <c r="C329" s="129"/>
      <c r="D329" s="129"/>
      <c r="E329" s="129"/>
      <c r="F329" s="129"/>
      <c r="G329" s="129"/>
      <c r="H329" s="129"/>
      <c r="I329" s="129"/>
      <c r="J329" s="129"/>
    </row>
    <row r="330" spans="1:10">
      <c r="A330" s="128"/>
      <c r="B330" s="129"/>
      <c r="C330" s="129"/>
      <c r="D330" s="129"/>
      <c r="E330" s="129"/>
      <c r="F330" s="129"/>
      <c r="G330" s="129"/>
      <c r="H330" s="129"/>
      <c r="I330" s="129"/>
      <c r="J330" s="129"/>
    </row>
    <row r="331" spans="1:10">
      <c r="A331" s="128"/>
      <c r="B331" s="129"/>
      <c r="C331" s="129"/>
      <c r="D331" s="129"/>
      <c r="E331" s="129"/>
      <c r="F331" s="129"/>
      <c r="G331" s="129"/>
      <c r="H331" s="129"/>
      <c r="I331" s="129"/>
      <c r="J331" s="129"/>
    </row>
    <row r="332" spans="1:10">
      <c r="A332" s="128"/>
      <c r="B332" s="129"/>
      <c r="C332" s="129"/>
      <c r="D332" s="129"/>
      <c r="E332" s="129"/>
      <c r="F332" s="129"/>
      <c r="G332" s="129"/>
      <c r="H332" s="129"/>
      <c r="I332" s="129"/>
      <c r="J332" s="129"/>
    </row>
    <row r="333" spans="1:10">
      <c r="A333" s="128"/>
      <c r="B333" s="129"/>
      <c r="C333" s="129"/>
      <c r="D333" s="129"/>
      <c r="E333" s="129"/>
      <c r="F333" s="129"/>
      <c r="G333" s="129"/>
      <c r="H333" s="129"/>
      <c r="I333" s="129"/>
      <c r="J333" s="129"/>
    </row>
    <row r="334" spans="1:10">
      <c r="A334" s="128"/>
      <c r="B334" s="129"/>
      <c r="C334" s="129"/>
      <c r="D334" s="129"/>
      <c r="E334" s="129"/>
      <c r="F334" s="129"/>
      <c r="G334" s="129"/>
      <c r="H334" s="129"/>
      <c r="I334" s="129"/>
      <c r="J334" s="129"/>
    </row>
    <row r="335" spans="1:10">
      <c r="A335" s="128"/>
      <c r="B335" s="129"/>
      <c r="C335" s="129"/>
      <c r="D335" s="129"/>
      <c r="E335" s="129"/>
      <c r="F335" s="129"/>
      <c r="G335" s="129"/>
      <c r="H335" s="129"/>
      <c r="I335" s="129"/>
      <c r="J335" s="129"/>
    </row>
    <row r="336" spans="1:10">
      <c r="A336" s="128"/>
      <c r="B336" s="129"/>
      <c r="C336" s="129"/>
      <c r="D336" s="129"/>
      <c r="E336" s="129"/>
      <c r="F336" s="129"/>
      <c r="G336" s="129"/>
      <c r="H336" s="129"/>
      <c r="I336" s="129"/>
      <c r="J336" s="129"/>
    </row>
    <row r="337" spans="1:10">
      <c r="A337" s="128"/>
      <c r="B337" s="129"/>
      <c r="C337" s="129"/>
      <c r="D337" s="129"/>
      <c r="E337" s="129"/>
      <c r="F337" s="129"/>
      <c r="G337" s="129"/>
      <c r="H337" s="129"/>
      <c r="I337" s="129"/>
      <c r="J337" s="129"/>
    </row>
    <row r="338" spans="1:10">
      <c r="A338" s="128"/>
      <c r="B338" s="129"/>
      <c r="C338" s="129"/>
      <c r="D338" s="129"/>
      <c r="E338" s="129"/>
      <c r="F338" s="129"/>
      <c r="G338" s="129"/>
      <c r="H338" s="129"/>
      <c r="I338" s="129"/>
      <c r="J338" s="129"/>
    </row>
    <row r="339" spans="1:10">
      <c r="A339" s="128"/>
      <c r="B339" s="129"/>
      <c r="C339" s="129"/>
      <c r="D339" s="129"/>
      <c r="E339" s="129"/>
      <c r="F339" s="129"/>
      <c r="G339" s="129"/>
      <c r="H339" s="129"/>
      <c r="I339" s="129"/>
      <c r="J339" s="129"/>
    </row>
    <row r="340" spans="1:10">
      <c r="A340" s="128"/>
      <c r="B340" s="129"/>
      <c r="C340" s="129"/>
      <c r="D340" s="129"/>
      <c r="E340" s="129"/>
      <c r="F340" s="129"/>
      <c r="G340" s="129"/>
      <c r="H340" s="129"/>
      <c r="I340" s="129"/>
      <c r="J340" s="129"/>
    </row>
    <row r="341" spans="1:10">
      <c r="A341" s="128"/>
      <c r="B341" s="129"/>
      <c r="C341" s="129"/>
      <c r="D341" s="129"/>
      <c r="E341" s="129"/>
      <c r="F341" s="129"/>
      <c r="G341" s="129"/>
      <c r="H341" s="129"/>
      <c r="I341" s="129"/>
      <c r="J341" s="129"/>
    </row>
    <row r="342" spans="1:10">
      <c r="A342" s="128"/>
      <c r="B342" s="129"/>
      <c r="C342" s="129"/>
      <c r="D342" s="129"/>
      <c r="E342" s="129"/>
      <c r="F342" s="129"/>
      <c r="G342" s="129"/>
      <c r="H342" s="129"/>
      <c r="I342" s="129"/>
      <c r="J342" s="129"/>
    </row>
    <row r="343" spans="1:10">
      <c r="A343" s="128"/>
      <c r="B343" s="129"/>
      <c r="C343" s="129"/>
      <c r="D343" s="129"/>
      <c r="E343" s="129"/>
      <c r="F343" s="129"/>
      <c r="G343" s="129"/>
      <c r="H343" s="129"/>
      <c r="I343" s="129"/>
      <c r="J343" s="129"/>
    </row>
    <row r="344" spans="1:10">
      <c r="A344" s="128"/>
      <c r="B344" s="129"/>
      <c r="C344" s="129"/>
      <c r="D344" s="129"/>
      <c r="E344" s="129"/>
      <c r="F344" s="129"/>
      <c r="G344" s="129"/>
      <c r="H344" s="129"/>
      <c r="I344" s="129"/>
      <c r="J344" s="129"/>
    </row>
    <row r="345" spans="1:10">
      <c r="A345" s="128"/>
      <c r="B345" s="129"/>
      <c r="C345" s="129"/>
      <c r="D345" s="129"/>
      <c r="E345" s="129"/>
      <c r="F345" s="129"/>
      <c r="G345" s="129"/>
      <c r="H345" s="129"/>
      <c r="I345" s="129"/>
      <c r="J345" s="129"/>
    </row>
    <row r="346" spans="1:10">
      <c r="A346" s="128"/>
      <c r="B346" s="129"/>
      <c r="C346" s="129"/>
      <c r="D346" s="129"/>
      <c r="E346" s="129"/>
      <c r="F346" s="129"/>
      <c r="G346" s="129"/>
      <c r="H346" s="129"/>
      <c r="I346" s="129"/>
      <c r="J346" s="129"/>
    </row>
    <row r="347" spans="1:10">
      <c r="A347" s="128"/>
      <c r="B347" s="129"/>
      <c r="C347" s="129"/>
      <c r="D347" s="129"/>
      <c r="E347" s="129"/>
      <c r="F347" s="129"/>
      <c r="G347" s="129"/>
      <c r="H347" s="129"/>
      <c r="I347" s="129"/>
      <c r="J347" s="129"/>
    </row>
    <row r="348" spans="1:10">
      <c r="A348" s="128"/>
      <c r="B348" s="129"/>
      <c r="C348" s="129"/>
      <c r="D348" s="129"/>
      <c r="E348" s="129"/>
      <c r="F348" s="129"/>
      <c r="G348" s="129"/>
      <c r="H348" s="129"/>
      <c r="I348" s="129"/>
      <c r="J348" s="129"/>
    </row>
    <row r="349" spans="1:10">
      <c r="A349" s="128"/>
      <c r="B349" s="129"/>
      <c r="C349" s="129"/>
      <c r="D349" s="129"/>
      <c r="E349" s="129"/>
      <c r="F349" s="129"/>
      <c r="G349" s="129"/>
      <c r="H349" s="129"/>
      <c r="I349" s="129"/>
      <c r="J349" s="129"/>
    </row>
    <row r="350" spans="1:10">
      <c r="A350" s="128"/>
      <c r="B350" s="129"/>
      <c r="C350" s="129"/>
      <c r="D350" s="129"/>
      <c r="E350" s="129"/>
      <c r="F350" s="129"/>
      <c r="G350" s="129"/>
      <c r="H350" s="129"/>
      <c r="I350" s="129"/>
      <c r="J350" s="129"/>
    </row>
    <row r="351" spans="1:10">
      <c r="A351" s="128"/>
      <c r="B351" s="129"/>
      <c r="C351" s="129"/>
      <c r="D351" s="129"/>
      <c r="E351" s="129"/>
      <c r="F351" s="129"/>
      <c r="G351" s="129"/>
      <c r="H351" s="129"/>
      <c r="I351" s="129"/>
      <c r="J351" s="129"/>
    </row>
    <row r="352" spans="1:10">
      <c r="A352" s="128"/>
      <c r="B352" s="129"/>
      <c r="C352" s="129"/>
      <c r="D352" s="129"/>
      <c r="E352" s="129"/>
      <c r="F352" s="129"/>
      <c r="G352" s="129"/>
      <c r="H352" s="129"/>
      <c r="I352" s="129"/>
      <c r="J352" s="129"/>
    </row>
    <row r="353" spans="1:10">
      <c r="A353" s="128"/>
      <c r="B353" s="129"/>
      <c r="C353" s="129"/>
      <c r="D353" s="129"/>
      <c r="E353" s="129"/>
      <c r="F353" s="129"/>
      <c r="G353" s="129"/>
      <c r="H353" s="129"/>
      <c r="I353" s="129"/>
      <c r="J353" s="129"/>
    </row>
    <row r="354" spans="1:10">
      <c r="A354" s="128"/>
      <c r="B354" s="129"/>
      <c r="C354" s="129"/>
      <c r="D354" s="129"/>
      <c r="E354" s="129"/>
      <c r="F354" s="129"/>
      <c r="G354" s="129"/>
      <c r="H354" s="129"/>
      <c r="I354" s="129"/>
      <c r="J354" s="129"/>
    </row>
    <row r="355" spans="1:10">
      <c r="A355" s="128"/>
      <c r="B355" s="129"/>
      <c r="C355" s="129"/>
      <c r="D355" s="129"/>
      <c r="E355" s="129"/>
      <c r="F355" s="129"/>
      <c r="G355" s="129"/>
      <c r="H355" s="129"/>
      <c r="I355" s="129"/>
      <c r="J355" s="129"/>
    </row>
    <row r="356" spans="1:10">
      <c r="A356" s="128"/>
      <c r="B356" s="129"/>
      <c r="C356" s="129"/>
      <c r="D356" s="129"/>
      <c r="E356" s="129"/>
      <c r="F356" s="129"/>
      <c r="G356" s="129"/>
      <c r="H356" s="129"/>
      <c r="I356" s="129"/>
      <c r="J356" s="129"/>
    </row>
    <row r="357" spans="1:10">
      <c r="A357" s="128"/>
      <c r="B357" s="129"/>
      <c r="C357" s="129"/>
      <c r="D357" s="129"/>
      <c r="E357" s="129"/>
      <c r="F357" s="129"/>
      <c r="G357" s="129"/>
      <c r="H357" s="129"/>
      <c r="I357" s="129"/>
      <c r="J357" s="129"/>
    </row>
    <row r="358" spans="1:10">
      <c r="A358" s="128"/>
      <c r="B358" s="129"/>
      <c r="C358" s="129"/>
      <c r="D358" s="129"/>
      <c r="E358" s="129"/>
      <c r="F358" s="129"/>
      <c r="G358" s="129"/>
      <c r="H358" s="129"/>
      <c r="I358" s="129"/>
      <c r="J358" s="129"/>
    </row>
    <row r="359" spans="1:10">
      <c r="A359" s="128"/>
      <c r="B359" s="129"/>
      <c r="C359" s="129"/>
      <c r="D359" s="129"/>
      <c r="E359" s="129"/>
      <c r="F359" s="129"/>
      <c r="G359" s="129"/>
      <c r="H359" s="129"/>
      <c r="I359" s="129"/>
      <c r="J359" s="129"/>
    </row>
    <row r="360" spans="1:10">
      <c r="A360" s="128"/>
      <c r="B360" s="129"/>
      <c r="C360" s="129"/>
      <c r="D360" s="129"/>
      <c r="E360" s="129"/>
      <c r="F360" s="129"/>
      <c r="G360" s="129"/>
      <c r="H360" s="129"/>
      <c r="I360" s="129"/>
      <c r="J360" s="129"/>
    </row>
    <row r="361" spans="1:10">
      <c r="A361" s="128"/>
      <c r="B361" s="129"/>
      <c r="C361" s="129"/>
      <c r="D361" s="129"/>
      <c r="E361" s="129"/>
      <c r="F361" s="129"/>
      <c r="G361" s="129"/>
      <c r="H361" s="129"/>
      <c r="I361" s="129"/>
      <c r="J361" s="129"/>
    </row>
    <row r="362" spans="1:10">
      <c r="A362" s="128"/>
      <c r="B362" s="129"/>
      <c r="C362" s="129"/>
      <c r="D362" s="129"/>
      <c r="E362" s="129"/>
      <c r="F362" s="129"/>
      <c r="G362" s="129"/>
      <c r="H362" s="129"/>
      <c r="I362" s="129"/>
      <c r="J362" s="129"/>
    </row>
    <row r="363" spans="1:10">
      <c r="A363" s="128"/>
      <c r="B363" s="129"/>
      <c r="C363" s="129"/>
      <c r="D363" s="129"/>
      <c r="E363" s="129"/>
      <c r="F363" s="129"/>
      <c r="G363" s="129"/>
      <c r="H363" s="129"/>
      <c r="I363" s="129"/>
      <c r="J363" s="129"/>
    </row>
    <row r="364" spans="1:10">
      <c r="A364" s="128"/>
      <c r="B364" s="129"/>
      <c r="C364" s="129"/>
      <c r="D364" s="129"/>
      <c r="E364" s="129"/>
      <c r="F364" s="129"/>
      <c r="G364" s="129"/>
      <c r="H364" s="129"/>
      <c r="I364" s="129"/>
      <c r="J364" s="129"/>
    </row>
    <row r="365" spans="1:10">
      <c r="A365" s="128"/>
      <c r="B365" s="129"/>
      <c r="C365" s="129"/>
      <c r="D365" s="129"/>
      <c r="E365" s="129"/>
      <c r="F365" s="129"/>
      <c r="G365" s="129"/>
      <c r="H365" s="129"/>
      <c r="I365" s="129"/>
      <c r="J365" s="129"/>
    </row>
    <row r="366" spans="1:10">
      <c r="A366" s="128"/>
      <c r="B366" s="129"/>
      <c r="C366" s="129"/>
      <c r="D366" s="129"/>
      <c r="E366" s="129"/>
      <c r="F366" s="129"/>
      <c r="G366" s="129"/>
      <c r="H366" s="129"/>
      <c r="I366" s="129"/>
      <c r="J366" s="129"/>
    </row>
    <row r="367" spans="1:10">
      <c r="A367" s="128"/>
      <c r="B367" s="129"/>
      <c r="C367" s="129"/>
      <c r="D367" s="129"/>
      <c r="E367" s="129"/>
      <c r="F367" s="129"/>
      <c r="G367" s="129"/>
      <c r="H367" s="129"/>
      <c r="I367" s="129"/>
      <c r="J367" s="129"/>
    </row>
    <row r="368" spans="1:10">
      <c r="A368" s="128"/>
      <c r="B368" s="129"/>
      <c r="C368" s="129"/>
      <c r="D368" s="129"/>
      <c r="E368" s="129"/>
      <c r="F368" s="129"/>
      <c r="G368" s="129"/>
      <c r="H368" s="129"/>
      <c r="I368" s="129"/>
      <c r="J368" s="129"/>
    </row>
    <row r="369" spans="1:10">
      <c r="A369" s="128"/>
      <c r="B369" s="129"/>
      <c r="C369" s="129"/>
      <c r="D369" s="129"/>
      <c r="E369" s="129"/>
      <c r="F369" s="129"/>
      <c r="G369" s="129"/>
      <c r="H369" s="129"/>
      <c r="I369" s="129"/>
      <c r="J369" s="129"/>
    </row>
    <row r="370" spans="1:10">
      <c r="A370" s="128"/>
      <c r="B370" s="129"/>
      <c r="C370" s="129"/>
      <c r="D370" s="129"/>
      <c r="E370" s="129"/>
      <c r="F370" s="129"/>
      <c r="G370" s="129"/>
      <c r="H370" s="129"/>
      <c r="I370" s="129"/>
      <c r="J370" s="129"/>
    </row>
    <row r="371" spans="1:10">
      <c r="A371" s="128"/>
      <c r="B371" s="129"/>
      <c r="C371" s="129"/>
      <c r="D371" s="129"/>
      <c r="E371" s="129"/>
      <c r="F371" s="129"/>
      <c r="G371" s="129"/>
      <c r="H371" s="129"/>
      <c r="I371" s="129"/>
      <c r="J371" s="129"/>
    </row>
    <row r="372" spans="1:10">
      <c r="A372" s="128"/>
      <c r="B372" s="129"/>
      <c r="C372" s="129"/>
      <c r="D372" s="129"/>
      <c r="E372" s="129"/>
      <c r="F372" s="129"/>
      <c r="G372" s="129"/>
      <c r="H372" s="129"/>
      <c r="I372" s="129"/>
      <c r="J372" s="129"/>
    </row>
    <row r="373" spans="1:10">
      <c r="A373" s="128"/>
      <c r="B373" s="129"/>
      <c r="C373" s="129"/>
      <c r="D373" s="129"/>
      <c r="E373" s="129"/>
      <c r="F373" s="129"/>
      <c r="G373" s="129"/>
      <c r="H373" s="129"/>
      <c r="I373" s="129"/>
      <c r="J373" s="129"/>
    </row>
    <row r="374" spans="1:10">
      <c r="A374" s="128"/>
      <c r="B374" s="129"/>
      <c r="C374" s="129"/>
      <c r="D374" s="129"/>
      <c r="E374" s="129"/>
      <c r="F374" s="129"/>
      <c r="G374" s="129"/>
      <c r="H374" s="129"/>
      <c r="I374" s="129"/>
      <c r="J374" s="129"/>
    </row>
    <row r="375" spans="1:10">
      <c r="A375" s="128"/>
      <c r="B375" s="129"/>
      <c r="C375" s="129"/>
      <c r="D375" s="129"/>
      <c r="E375" s="129"/>
      <c r="F375" s="129"/>
      <c r="G375" s="129"/>
      <c r="H375" s="129"/>
      <c r="I375" s="129"/>
      <c r="J375" s="129"/>
    </row>
    <row r="376" spans="1:10">
      <c r="A376" s="128"/>
      <c r="B376" s="129"/>
      <c r="C376" s="129"/>
      <c r="D376" s="129"/>
      <c r="E376" s="129"/>
      <c r="F376" s="129"/>
      <c r="G376" s="129"/>
      <c r="H376" s="129"/>
      <c r="I376" s="129"/>
      <c r="J376" s="129"/>
    </row>
    <row r="377" spans="1:10">
      <c r="A377" s="128"/>
      <c r="B377" s="129"/>
      <c r="C377" s="129"/>
      <c r="D377" s="129"/>
      <c r="E377" s="129"/>
      <c r="F377" s="129"/>
      <c r="G377" s="129"/>
      <c r="H377" s="129"/>
      <c r="I377" s="129"/>
      <c r="J377" s="129"/>
    </row>
    <row r="378" spans="1:10">
      <c r="A378" s="128"/>
      <c r="B378" s="129"/>
      <c r="C378" s="129"/>
      <c r="D378" s="129"/>
      <c r="E378" s="129"/>
      <c r="F378" s="129"/>
      <c r="G378" s="129"/>
      <c r="H378" s="129"/>
      <c r="I378" s="129"/>
      <c r="J378" s="129"/>
    </row>
    <row r="379" spans="1:10">
      <c r="A379" s="128"/>
      <c r="B379" s="129"/>
      <c r="C379" s="129"/>
      <c r="D379" s="129"/>
      <c r="E379" s="129"/>
      <c r="F379" s="129"/>
      <c r="G379" s="129"/>
      <c r="H379" s="129"/>
      <c r="I379" s="129"/>
      <c r="J379" s="129"/>
    </row>
    <row r="380" spans="1:10">
      <c r="A380" s="128"/>
      <c r="B380" s="129"/>
      <c r="C380" s="129"/>
      <c r="D380" s="129"/>
      <c r="E380" s="129"/>
      <c r="F380" s="129"/>
      <c r="G380" s="129"/>
      <c r="H380" s="129"/>
      <c r="I380" s="129"/>
      <c r="J380" s="129"/>
    </row>
    <row r="381" spans="1:10">
      <c r="A381" s="128"/>
      <c r="B381" s="129"/>
      <c r="C381" s="129"/>
      <c r="D381" s="129"/>
      <c r="E381" s="129"/>
      <c r="F381" s="129"/>
      <c r="G381" s="129"/>
      <c r="H381" s="129"/>
      <c r="I381" s="129"/>
      <c r="J381" s="129"/>
    </row>
    <row r="382" spans="1:10">
      <c r="A382" s="128"/>
      <c r="B382" s="129"/>
      <c r="C382" s="129"/>
      <c r="D382" s="129"/>
      <c r="E382" s="129"/>
      <c r="F382" s="129"/>
      <c r="G382" s="129"/>
      <c r="H382" s="129"/>
      <c r="I382" s="129"/>
      <c r="J382" s="129"/>
    </row>
    <row r="383" spans="1:10">
      <c r="A383" s="128"/>
      <c r="B383" s="129"/>
      <c r="C383" s="129"/>
      <c r="D383" s="129"/>
      <c r="E383" s="129"/>
      <c r="F383" s="129"/>
      <c r="G383" s="129"/>
      <c r="H383" s="129"/>
      <c r="I383" s="129"/>
      <c r="J383" s="129"/>
    </row>
    <row r="384" spans="1:10">
      <c r="A384" s="128"/>
      <c r="B384" s="129"/>
      <c r="C384" s="129"/>
      <c r="D384" s="129"/>
      <c r="E384" s="129"/>
      <c r="F384" s="129"/>
      <c r="G384" s="129"/>
      <c r="H384" s="129"/>
      <c r="I384" s="129"/>
      <c r="J384" s="129"/>
    </row>
    <row r="385" spans="1:10">
      <c r="A385" s="128"/>
      <c r="B385" s="129"/>
      <c r="C385" s="129"/>
      <c r="D385" s="129"/>
      <c r="E385" s="129"/>
      <c r="F385" s="129"/>
      <c r="G385" s="129"/>
      <c r="H385" s="129"/>
      <c r="I385" s="129"/>
      <c r="J385" s="129"/>
    </row>
    <row r="386" spans="1:10">
      <c r="A386" s="128"/>
      <c r="B386" s="129"/>
      <c r="C386" s="129"/>
      <c r="D386" s="129"/>
      <c r="E386" s="129"/>
      <c r="F386" s="129"/>
      <c r="G386" s="129"/>
      <c r="H386" s="129"/>
      <c r="I386" s="129"/>
      <c r="J386" s="129"/>
    </row>
    <row r="387" spans="1:10">
      <c r="A387" s="128"/>
      <c r="B387" s="129"/>
      <c r="C387" s="129"/>
      <c r="D387" s="129"/>
      <c r="E387" s="129"/>
      <c r="F387" s="129"/>
      <c r="G387" s="129"/>
      <c r="H387" s="129"/>
      <c r="I387" s="129"/>
      <c r="J387" s="129"/>
    </row>
    <row r="388" spans="1:10">
      <c r="A388" s="128"/>
      <c r="B388" s="129"/>
      <c r="C388" s="129"/>
      <c r="D388" s="129"/>
      <c r="E388" s="129"/>
      <c r="F388" s="129"/>
      <c r="G388" s="129"/>
      <c r="H388" s="129"/>
      <c r="I388" s="129"/>
      <c r="J388" s="129"/>
    </row>
    <row r="389" spans="1:10">
      <c r="A389" s="128"/>
      <c r="B389" s="129"/>
      <c r="C389" s="129"/>
      <c r="D389" s="129"/>
      <c r="E389" s="129"/>
      <c r="F389" s="129"/>
      <c r="G389" s="129"/>
      <c r="H389" s="129"/>
      <c r="I389" s="129"/>
      <c r="J389" s="129"/>
    </row>
    <row r="390" spans="1:10">
      <c r="A390" s="128"/>
      <c r="B390" s="129"/>
      <c r="C390" s="129"/>
      <c r="D390" s="129"/>
      <c r="E390" s="129"/>
      <c r="F390" s="129"/>
      <c r="G390" s="129"/>
      <c r="H390" s="129"/>
      <c r="I390" s="129"/>
      <c r="J390" s="129"/>
    </row>
    <row r="391" spans="1:10">
      <c r="A391" s="128"/>
      <c r="B391" s="129"/>
      <c r="C391" s="129"/>
      <c r="D391" s="129"/>
      <c r="E391" s="129"/>
      <c r="F391" s="129"/>
      <c r="G391" s="129"/>
      <c r="H391" s="129"/>
      <c r="I391" s="129"/>
      <c r="J391" s="129"/>
    </row>
    <row r="392" spans="1:10">
      <c r="A392" s="128"/>
      <c r="B392" s="129"/>
      <c r="C392" s="129"/>
      <c r="D392" s="129"/>
      <c r="E392" s="129"/>
      <c r="F392" s="129"/>
      <c r="G392" s="129"/>
      <c r="H392" s="129"/>
      <c r="I392" s="129"/>
      <c r="J392" s="129"/>
    </row>
    <row r="393" spans="1:10">
      <c r="A393" s="128"/>
      <c r="B393" s="129"/>
      <c r="C393" s="129"/>
      <c r="D393" s="129"/>
      <c r="E393" s="129"/>
      <c r="F393" s="129"/>
      <c r="G393" s="129"/>
      <c r="H393" s="129"/>
      <c r="I393" s="129"/>
      <c r="J393" s="129"/>
    </row>
    <row r="394" spans="1:10">
      <c r="A394" s="128"/>
      <c r="B394" s="129"/>
      <c r="C394" s="129"/>
      <c r="D394" s="129"/>
      <c r="E394" s="129"/>
      <c r="F394" s="129"/>
      <c r="G394" s="129"/>
      <c r="H394" s="129"/>
      <c r="I394" s="129"/>
      <c r="J394" s="129"/>
    </row>
    <row r="395" spans="1:10">
      <c r="A395" s="128"/>
      <c r="B395" s="129"/>
      <c r="C395" s="129"/>
      <c r="D395" s="129"/>
      <c r="E395" s="129"/>
      <c r="F395" s="129"/>
      <c r="G395" s="129"/>
      <c r="H395" s="129"/>
      <c r="I395" s="129"/>
      <c r="J395" s="129"/>
    </row>
    <row r="396" spans="1:10">
      <c r="A396" s="128"/>
      <c r="B396" s="129"/>
      <c r="C396" s="129"/>
      <c r="D396" s="129"/>
      <c r="E396" s="129"/>
      <c r="F396" s="129"/>
      <c r="G396" s="129"/>
      <c r="H396" s="129"/>
      <c r="I396" s="129"/>
      <c r="J396" s="129"/>
    </row>
    <row r="397" spans="1:10">
      <c r="A397" s="128"/>
      <c r="B397" s="129"/>
      <c r="C397" s="129"/>
      <c r="D397" s="129"/>
      <c r="E397" s="129"/>
      <c r="F397" s="129"/>
      <c r="G397" s="129"/>
      <c r="H397" s="129"/>
      <c r="I397" s="129"/>
      <c r="J397" s="129"/>
    </row>
    <row r="398" spans="1:10">
      <c r="A398" s="128"/>
      <c r="B398" s="129"/>
      <c r="C398" s="129"/>
      <c r="D398" s="129"/>
      <c r="E398" s="129"/>
      <c r="F398" s="129"/>
      <c r="G398" s="129"/>
      <c r="H398" s="129"/>
      <c r="I398" s="129"/>
      <c r="J398" s="129"/>
    </row>
    <row r="399" spans="1:10">
      <c r="A399" s="128"/>
      <c r="B399" s="129"/>
      <c r="C399" s="129"/>
      <c r="D399" s="129"/>
      <c r="E399" s="129"/>
      <c r="F399" s="129"/>
      <c r="G399" s="129"/>
      <c r="H399" s="129"/>
      <c r="I399" s="129"/>
      <c r="J399" s="129"/>
    </row>
    <row r="400" spans="1:10">
      <c r="A400" s="128"/>
      <c r="B400" s="129"/>
      <c r="C400" s="129"/>
      <c r="D400" s="129"/>
      <c r="E400" s="129"/>
      <c r="F400" s="129"/>
      <c r="G400" s="129"/>
      <c r="H400" s="129"/>
      <c r="I400" s="129"/>
      <c r="J400" s="129"/>
    </row>
    <row r="401" spans="1:10">
      <c r="A401" s="128"/>
      <c r="B401" s="129"/>
      <c r="C401" s="129"/>
      <c r="D401" s="129"/>
      <c r="E401" s="129"/>
      <c r="F401" s="129"/>
      <c r="G401" s="129"/>
      <c r="H401" s="129"/>
      <c r="I401" s="129"/>
      <c r="J401" s="129"/>
    </row>
    <row r="402" spans="1:10">
      <c r="A402" s="128"/>
      <c r="B402" s="129"/>
      <c r="C402" s="129"/>
      <c r="D402" s="129"/>
      <c r="E402" s="129"/>
      <c r="F402" s="129"/>
      <c r="G402" s="129"/>
      <c r="H402" s="129"/>
      <c r="I402" s="129"/>
      <c r="J402" s="129"/>
    </row>
    <row r="403" spans="1:10">
      <c r="A403" s="128"/>
      <c r="B403" s="129"/>
      <c r="C403" s="129"/>
      <c r="D403" s="129"/>
      <c r="E403" s="129"/>
      <c r="F403" s="129"/>
      <c r="G403" s="129"/>
      <c r="H403" s="129"/>
      <c r="I403" s="129"/>
      <c r="J403" s="129"/>
    </row>
    <row r="404" spans="1:10">
      <c r="A404" s="128"/>
      <c r="B404" s="129"/>
      <c r="C404" s="129"/>
      <c r="D404" s="129"/>
      <c r="E404" s="129"/>
      <c r="F404" s="129"/>
      <c r="G404" s="129"/>
      <c r="H404" s="129"/>
      <c r="I404" s="129"/>
      <c r="J404" s="129"/>
    </row>
    <row r="405" spans="1:10">
      <c r="A405" s="128"/>
      <c r="B405" s="129"/>
      <c r="C405" s="129"/>
      <c r="D405" s="129"/>
      <c r="E405" s="129"/>
      <c r="F405" s="129"/>
      <c r="G405" s="129"/>
      <c r="H405" s="129"/>
      <c r="I405" s="129"/>
      <c r="J405" s="129"/>
    </row>
    <row r="406" spans="1:10">
      <c r="A406" s="128"/>
      <c r="B406" s="129"/>
      <c r="C406" s="129"/>
      <c r="D406" s="129"/>
      <c r="E406" s="129"/>
      <c r="F406" s="129"/>
      <c r="G406" s="129"/>
      <c r="H406" s="129"/>
      <c r="I406" s="129"/>
      <c r="J406" s="129"/>
    </row>
    <row r="407" spans="1:10">
      <c r="A407" s="128"/>
      <c r="B407" s="129"/>
      <c r="C407" s="129"/>
      <c r="D407" s="129"/>
      <c r="E407" s="129"/>
      <c r="F407" s="129"/>
      <c r="G407" s="129"/>
      <c r="H407" s="129"/>
      <c r="I407" s="129"/>
      <c r="J407" s="129"/>
    </row>
    <row r="408" spans="1:10">
      <c r="A408" s="128"/>
      <c r="B408" s="129"/>
      <c r="C408" s="129"/>
      <c r="D408" s="129"/>
      <c r="E408" s="129"/>
      <c r="F408" s="129"/>
      <c r="G408" s="129"/>
      <c r="H408" s="129"/>
      <c r="I408" s="129"/>
      <c r="J408" s="129"/>
    </row>
    <row r="409" spans="1:10">
      <c r="A409" s="128"/>
      <c r="B409" s="129"/>
      <c r="C409" s="129"/>
      <c r="D409" s="129"/>
      <c r="E409" s="129"/>
      <c r="F409" s="129"/>
      <c r="G409" s="129"/>
      <c r="H409" s="129"/>
      <c r="I409" s="129"/>
      <c r="J409" s="129"/>
    </row>
    <row r="410" spans="1:10">
      <c r="A410" s="128"/>
      <c r="B410" s="129"/>
      <c r="C410" s="129"/>
      <c r="D410" s="129"/>
      <c r="E410" s="129"/>
      <c r="F410" s="129"/>
      <c r="G410" s="129"/>
      <c r="H410" s="129"/>
      <c r="I410" s="129"/>
      <c r="J410" s="129"/>
    </row>
    <row r="411" spans="1:10">
      <c r="A411" s="128"/>
      <c r="B411" s="129"/>
      <c r="C411" s="129"/>
      <c r="D411" s="129"/>
      <c r="E411" s="129"/>
      <c r="F411" s="129"/>
      <c r="G411" s="129"/>
      <c r="H411" s="129"/>
      <c r="I411" s="129"/>
      <c r="J411" s="129"/>
    </row>
    <row r="412" spans="1:10">
      <c r="A412" s="128"/>
      <c r="B412" s="129"/>
      <c r="C412" s="129"/>
      <c r="D412" s="129"/>
      <c r="E412" s="129"/>
      <c r="F412" s="129"/>
      <c r="G412" s="129"/>
      <c r="H412" s="129"/>
      <c r="I412" s="129"/>
      <c r="J412" s="129"/>
    </row>
    <row r="413" spans="1:10">
      <c r="A413" s="128"/>
      <c r="B413" s="129"/>
      <c r="C413" s="129"/>
      <c r="D413" s="129"/>
      <c r="E413" s="129"/>
      <c r="F413" s="129"/>
      <c r="G413" s="129"/>
      <c r="H413" s="129"/>
      <c r="I413" s="129"/>
      <c r="J413" s="129"/>
    </row>
    <row r="414" spans="1:10">
      <c r="A414" s="128"/>
      <c r="B414" s="129"/>
      <c r="C414" s="129"/>
      <c r="D414" s="129"/>
      <c r="E414" s="129"/>
      <c r="F414" s="129"/>
      <c r="G414" s="129"/>
      <c r="H414" s="129"/>
      <c r="I414" s="129"/>
      <c r="J414" s="129"/>
    </row>
    <row r="415" spans="1:10">
      <c r="A415" s="128"/>
      <c r="B415" s="129"/>
      <c r="C415" s="129"/>
      <c r="D415" s="129"/>
      <c r="E415" s="129"/>
      <c r="F415" s="129"/>
      <c r="G415" s="129"/>
      <c r="H415" s="129"/>
      <c r="I415" s="129"/>
      <c r="J415" s="129"/>
    </row>
    <row r="416" spans="1:10">
      <c r="A416" s="128"/>
      <c r="B416" s="129"/>
      <c r="C416" s="129"/>
      <c r="D416" s="129"/>
      <c r="E416" s="129"/>
      <c r="F416" s="129"/>
      <c r="G416" s="129"/>
      <c r="H416" s="129"/>
      <c r="I416" s="129"/>
      <c r="J416" s="129"/>
    </row>
    <row r="417" spans="1:10">
      <c r="A417" s="128"/>
      <c r="B417" s="129"/>
      <c r="C417" s="129"/>
      <c r="D417" s="129"/>
      <c r="E417" s="129"/>
      <c r="F417" s="129"/>
      <c r="G417" s="129"/>
      <c r="H417" s="129"/>
      <c r="I417" s="129"/>
      <c r="J417" s="129"/>
    </row>
    <row r="418" spans="1:10">
      <c r="A418" s="128"/>
      <c r="B418" s="129"/>
      <c r="C418" s="129"/>
      <c r="D418" s="129"/>
      <c r="E418" s="129"/>
      <c r="F418" s="129"/>
      <c r="G418" s="129"/>
      <c r="H418" s="129"/>
      <c r="I418" s="129"/>
      <c r="J418" s="129"/>
    </row>
    <row r="419" spans="1:10">
      <c r="A419" s="128"/>
      <c r="B419" s="129"/>
      <c r="C419" s="129"/>
      <c r="D419" s="129"/>
      <c r="E419" s="129"/>
      <c r="F419" s="129"/>
      <c r="G419" s="129"/>
      <c r="H419" s="129"/>
      <c r="I419" s="129"/>
      <c r="J419" s="129"/>
    </row>
    <row r="420" spans="1:10">
      <c r="A420" s="128"/>
      <c r="B420" s="129"/>
      <c r="C420" s="129"/>
      <c r="D420" s="129"/>
      <c r="E420" s="129"/>
      <c r="F420" s="129"/>
      <c r="G420" s="129"/>
      <c r="H420" s="129"/>
      <c r="I420" s="129"/>
      <c r="J420" s="129"/>
    </row>
    <row r="421" spans="1:10">
      <c r="A421" s="128"/>
      <c r="B421" s="129"/>
      <c r="C421" s="129"/>
      <c r="D421" s="129"/>
      <c r="E421" s="129"/>
      <c r="F421" s="129"/>
      <c r="G421" s="129"/>
      <c r="H421" s="129"/>
      <c r="I421" s="129"/>
      <c r="J421" s="129"/>
    </row>
    <row r="422" spans="1:10">
      <c r="A422" s="128"/>
      <c r="B422" s="129"/>
      <c r="C422" s="129"/>
      <c r="D422" s="129"/>
      <c r="E422" s="129"/>
      <c r="F422" s="129"/>
      <c r="G422" s="129"/>
      <c r="H422" s="129"/>
      <c r="I422" s="129"/>
      <c r="J422" s="129"/>
    </row>
    <row r="423" spans="1:10">
      <c r="A423" s="128"/>
      <c r="B423" s="129"/>
      <c r="C423" s="129"/>
      <c r="D423" s="129"/>
      <c r="E423" s="129"/>
      <c r="F423" s="129"/>
      <c r="G423" s="129"/>
      <c r="H423" s="129"/>
      <c r="I423" s="129"/>
      <c r="J423" s="129"/>
    </row>
    <row r="424" spans="1:10">
      <c r="A424" s="128"/>
      <c r="B424" s="129"/>
      <c r="C424" s="129"/>
      <c r="D424" s="129"/>
      <c r="E424" s="129"/>
      <c r="F424" s="129"/>
      <c r="G424" s="129"/>
      <c r="H424" s="129"/>
      <c r="I424" s="129"/>
      <c r="J424" s="129"/>
    </row>
    <row r="425" spans="1:10">
      <c r="A425" s="128"/>
      <c r="B425" s="129"/>
      <c r="C425" s="129"/>
      <c r="D425" s="129"/>
      <c r="E425" s="129"/>
      <c r="F425" s="129"/>
      <c r="G425" s="129"/>
      <c r="H425" s="129"/>
      <c r="I425" s="129"/>
      <c r="J425" s="129"/>
    </row>
    <row r="426" spans="1:10">
      <c r="A426" s="128"/>
      <c r="B426" s="129"/>
      <c r="C426" s="129"/>
      <c r="D426" s="129"/>
      <c r="E426" s="129"/>
      <c r="F426" s="129"/>
      <c r="G426" s="129"/>
      <c r="H426" s="129"/>
      <c r="I426" s="129"/>
      <c r="J426" s="129"/>
    </row>
    <row r="427" spans="1:10">
      <c r="A427" s="128"/>
      <c r="B427" s="129"/>
      <c r="C427" s="129"/>
      <c r="D427" s="129"/>
      <c r="E427" s="129"/>
      <c r="F427" s="129"/>
      <c r="G427" s="129"/>
      <c r="H427" s="129"/>
      <c r="I427" s="129"/>
      <c r="J427" s="129"/>
    </row>
    <row r="428" spans="1:10">
      <c r="A428" s="128"/>
      <c r="B428" s="129"/>
      <c r="C428" s="129"/>
      <c r="D428" s="129"/>
      <c r="E428" s="129"/>
      <c r="F428" s="129"/>
      <c r="G428" s="129"/>
      <c r="H428" s="129"/>
      <c r="I428" s="129"/>
      <c r="J428" s="129"/>
    </row>
    <row r="429" spans="1:10">
      <c r="A429" s="128"/>
      <c r="B429" s="129"/>
      <c r="C429" s="129"/>
      <c r="D429" s="129"/>
      <c r="E429" s="129"/>
      <c r="F429" s="129"/>
      <c r="G429" s="129"/>
      <c r="H429" s="129"/>
      <c r="I429" s="129"/>
      <c r="J429" s="129"/>
    </row>
    <row r="430" spans="1:10">
      <c r="A430" s="128"/>
      <c r="B430" s="129"/>
      <c r="C430" s="129"/>
      <c r="D430" s="129"/>
      <c r="E430" s="129"/>
      <c r="F430" s="129"/>
      <c r="G430" s="129"/>
      <c r="H430" s="129"/>
      <c r="I430" s="129"/>
      <c r="J430" s="129"/>
    </row>
    <row r="431" spans="1:10">
      <c r="A431" s="128"/>
      <c r="B431" s="129"/>
      <c r="C431" s="129"/>
      <c r="D431" s="129"/>
      <c r="E431" s="129"/>
      <c r="F431" s="129"/>
      <c r="G431" s="129"/>
      <c r="H431" s="129"/>
      <c r="I431" s="129"/>
      <c r="J431" s="129"/>
    </row>
    <row r="432" spans="1:10">
      <c r="A432" s="128"/>
      <c r="B432" s="129"/>
      <c r="C432" s="129"/>
      <c r="D432" s="129"/>
      <c r="E432" s="129"/>
      <c r="F432" s="129"/>
      <c r="G432" s="129"/>
      <c r="H432" s="129"/>
      <c r="I432" s="129"/>
      <c r="J432" s="129"/>
    </row>
    <row r="433" spans="1:10">
      <c r="A433" s="128"/>
      <c r="B433" s="129"/>
      <c r="C433" s="129"/>
      <c r="D433" s="129"/>
      <c r="E433" s="129"/>
      <c r="F433" s="129"/>
      <c r="G433" s="129"/>
      <c r="H433" s="129"/>
      <c r="I433" s="129"/>
      <c r="J433" s="129"/>
    </row>
    <row r="434" spans="1:10">
      <c r="A434" s="128"/>
      <c r="B434" s="129"/>
      <c r="C434" s="129"/>
      <c r="D434" s="129"/>
      <c r="E434" s="129"/>
      <c r="F434" s="129"/>
      <c r="G434" s="129"/>
      <c r="H434" s="129"/>
      <c r="I434" s="129"/>
      <c r="J434" s="129"/>
    </row>
    <row r="435" spans="1:10">
      <c r="A435" s="128"/>
      <c r="B435" s="129"/>
      <c r="C435" s="129"/>
      <c r="D435" s="129"/>
      <c r="E435" s="129"/>
      <c r="F435" s="129"/>
      <c r="G435" s="129"/>
      <c r="H435" s="129"/>
      <c r="I435" s="129"/>
      <c r="J435" s="129"/>
    </row>
    <row r="436" spans="1:10">
      <c r="A436" s="128"/>
      <c r="B436" s="129"/>
      <c r="C436" s="129"/>
      <c r="D436" s="129"/>
      <c r="E436" s="129"/>
      <c r="F436" s="129"/>
      <c r="G436" s="129"/>
      <c r="H436" s="129"/>
      <c r="I436" s="129"/>
      <c r="J436" s="129"/>
    </row>
    <row r="437" spans="1:10">
      <c r="A437" s="128"/>
      <c r="B437" s="129"/>
      <c r="C437" s="129"/>
      <c r="D437" s="129"/>
      <c r="E437" s="129"/>
      <c r="F437" s="129"/>
      <c r="G437" s="129"/>
      <c r="H437" s="129"/>
      <c r="I437" s="129"/>
      <c r="J437" s="129"/>
    </row>
    <row r="438" spans="1:10">
      <c r="A438" s="128"/>
      <c r="B438" s="129"/>
      <c r="C438" s="129"/>
      <c r="D438" s="129"/>
      <c r="E438" s="129"/>
      <c r="F438" s="129"/>
      <c r="G438" s="129"/>
      <c r="H438" s="129"/>
      <c r="I438" s="129"/>
      <c r="J438" s="129"/>
    </row>
    <row r="439" spans="1:10">
      <c r="A439" s="128"/>
      <c r="B439" s="129"/>
      <c r="C439" s="129"/>
      <c r="D439" s="129"/>
      <c r="E439" s="129"/>
      <c r="F439" s="129"/>
      <c r="G439" s="129"/>
      <c r="H439" s="129"/>
      <c r="I439" s="129"/>
      <c r="J439" s="129"/>
    </row>
    <row r="440" spans="1:10">
      <c r="A440" s="128"/>
      <c r="B440" s="129"/>
      <c r="C440" s="129"/>
      <c r="D440" s="129"/>
      <c r="E440" s="129"/>
      <c r="F440" s="129"/>
      <c r="G440" s="129"/>
      <c r="H440" s="129"/>
      <c r="I440" s="129"/>
      <c r="J440" s="129"/>
    </row>
    <row r="441" spans="1:10">
      <c r="A441" s="128"/>
      <c r="B441" s="129"/>
      <c r="C441" s="129"/>
      <c r="D441" s="129"/>
      <c r="E441" s="129"/>
      <c r="F441" s="129"/>
      <c r="G441" s="129"/>
      <c r="H441" s="129"/>
      <c r="I441" s="129"/>
      <c r="J441" s="129"/>
    </row>
    <row r="442" spans="1:10">
      <c r="A442" s="128"/>
      <c r="B442" s="129"/>
      <c r="C442" s="129"/>
      <c r="D442" s="129"/>
      <c r="E442" s="129"/>
      <c r="F442" s="129"/>
      <c r="G442" s="129"/>
      <c r="H442" s="129"/>
      <c r="I442" s="129"/>
      <c r="J442" s="129"/>
    </row>
    <row r="443" spans="1:10">
      <c r="A443" s="128"/>
      <c r="B443" s="129"/>
      <c r="C443" s="129"/>
      <c r="D443" s="129"/>
      <c r="E443" s="129"/>
      <c r="F443" s="129"/>
      <c r="G443" s="129"/>
      <c r="H443" s="129"/>
      <c r="I443" s="129"/>
      <c r="J443" s="129"/>
    </row>
    <row r="444" spans="1:10">
      <c r="A444" s="128"/>
      <c r="B444" s="129"/>
      <c r="C444" s="129"/>
      <c r="D444" s="129"/>
      <c r="E444" s="129"/>
      <c r="F444" s="129"/>
      <c r="G444" s="129"/>
      <c r="H444" s="129"/>
      <c r="I444" s="129"/>
      <c r="J444" s="129"/>
    </row>
    <row r="445" spans="1:10">
      <c r="A445" s="128"/>
      <c r="B445" s="129"/>
      <c r="C445" s="129"/>
      <c r="D445" s="129"/>
      <c r="E445" s="129"/>
      <c r="F445" s="129"/>
      <c r="G445" s="129"/>
      <c r="H445" s="129"/>
      <c r="I445" s="129"/>
      <c r="J445" s="129"/>
    </row>
    <row r="446" spans="1:10">
      <c r="A446" s="128"/>
      <c r="B446" s="129"/>
      <c r="C446" s="129"/>
      <c r="D446" s="129"/>
      <c r="E446" s="129"/>
      <c r="F446" s="129"/>
      <c r="G446" s="129"/>
      <c r="H446" s="129"/>
      <c r="I446" s="129"/>
      <c r="J446" s="129"/>
    </row>
    <row r="447" spans="1:10">
      <c r="A447" s="128"/>
      <c r="B447" s="129"/>
      <c r="C447" s="129"/>
      <c r="D447" s="129"/>
      <c r="E447" s="129"/>
      <c r="F447" s="129"/>
      <c r="G447" s="129"/>
      <c r="H447" s="129"/>
      <c r="I447" s="129"/>
      <c r="J447" s="129"/>
    </row>
    <row r="448" spans="1:10">
      <c r="A448" s="128"/>
      <c r="B448" s="129"/>
      <c r="C448" s="129"/>
      <c r="D448" s="129"/>
      <c r="E448" s="129"/>
      <c r="F448" s="129"/>
      <c r="G448" s="129"/>
      <c r="H448" s="129"/>
      <c r="I448" s="129"/>
      <c r="J448" s="129"/>
    </row>
    <row r="449" spans="1:10">
      <c r="A449" s="128"/>
      <c r="B449" s="129"/>
      <c r="C449" s="129"/>
      <c r="D449" s="129"/>
      <c r="E449" s="129"/>
      <c r="F449" s="129"/>
      <c r="G449" s="129"/>
      <c r="H449" s="129"/>
      <c r="I449" s="129"/>
      <c r="J449" s="129"/>
    </row>
    <row r="450" spans="1:10">
      <c r="A450" s="128"/>
      <c r="B450" s="129"/>
      <c r="C450" s="129"/>
      <c r="D450" s="129"/>
      <c r="E450" s="129"/>
      <c r="F450" s="129"/>
      <c r="G450" s="129"/>
      <c r="H450" s="129"/>
      <c r="I450" s="129"/>
      <c r="J450" s="129"/>
    </row>
    <row r="451" spans="1:10">
      <c r="A451" s="128"/>
      <c r="B451" s="129"/>
      <c r="C451" s="129"/>
      <c r="D451" s="129"/>
      <c r="E451" s="129"/>
      <c r="F451" s="129"/>
      <c r="G451" s="129"/>
      <c r="H451" s="129"/>
      <c r="I451" s="129"/>
      <c r="J451" s="129"/>
    </row>
    <row r="452" spans="1:10">
      <c r="A452" s="128"/>
      <c r="B452" s="129"/>
      <c r="C452" s="129"/>
      <c r="D452" s="129"/>
      <c r="E452" s="129"/>
      <c r="F452" s="129"/>
      <c r="G452" s="129"/>
      <c r="H452" s="129"/>
      <c r="I452" s="129"/>
      <c r="J452" s="129"/>
    </row>
    <row r="453" spans="1:10">
      <c r="A453" s="128"/>
      <c r="B453" s="129"/>
      <c r="C453" s="129"/>
      <c r="D453" s="129"/>
      <c r="E453" s="129"/>
      <c r="F453" s="129"/>
      <c r="G453" s="129"/>
      <c r="H453" s="129"/>
      <c r="I453" s="129"/>
      <c r="J453" s="129"/>
    </row>
    <row r="454" spans="1:10">
      <c r="A454" s="128"/>
      <c r="B454" s="129"/>
      <c r="C454" s="129"/>
      <c r="D454" s="129"/>
      <c r="E454" s="129"/>
      <c r="F454" s="129"/>
      <c r="G454" s="129"/>
      <c r="H454" s="129"/>
      <c r="I454" s="129"/>
      <c r="J454" s="129"/>
    </row>
    <row r="455" spans="1:10">
      <c r="A455" s="128"/>
      <c r="B455" s="129"/>
      <c r="C455" s="129"/>
      <c r="D455" s="129"/>
      <c r="E455" s="129"/>
      <c r="F455" s="129"/>
      <c r="G455" s="129"/>
      <c r="H455" s="129"/>
      <c r="I455" s="129"/>
      <c r="J455" s="129"/>
    </row>
    <row r="456" spans="1:10">
      <c r="A456" s="128"/>
      <c r="B456" s="129"/>
      <c r="C456" s="129"/>
      <c r="D456" s="129"/>
      <c r="E456" s="129"/>
      <c r="F456" s="129"/>
      <c r="G456" s="129"/>
      <c r="H456" s="129"/>
      <c r="I456" s="129"/>
      <c r="J456" s="129"/>
    </row>
    <row r="457" spans="1:10">
      <c r="A457" s="128"/>
      <c r="B457" s="129"/>
      <c r="C457" s="129"/>
      <c r="D457" s="129"/>
      <c r="E457" s="129"/>
      <c r="F457" s="129"/>
      <c r="G457" s="129"/>
      <c r="H457" s="129"/>
      <c r="I457" s="129"/>
      <c r="J457" s="129"/>
    </row>
    <row r="458" spans="1:10">
      <c r="A458" s="128"/>
      <c r="B458" s="129"/>
      <c r="C458" s="129"/>
      <c r="D458" s="129"/>
      <c r="E458" s="129"/>
      <c r="F458" s="129"/>
      <c r="G458" s="129"/>
      <c r="H458" s="129"/>
      <c r="I458" s="129"/>
      <c r="J458" s="129"/>
    </row>
    <row r="459" spans="1:10">
      <c r="A459" s="128"/>
      <c r="B459" s="129"/>
      <c r="C459" s="129"/>
      <c r="D459" s="129"/>
      <c r="E459" s="129"/>
      <c r="F459" s="129"/>
      <c r="G459" s="129"/>
      <c r="H459" s="129"/>
      <c r="I459" s="129"/>
      <c r="J459" s="129"/>
    </row>
    <row r="460" spans="1:10">
      <c r="A460" s="128"/>
      <c r="B460" s="129"/>
      <c r="C460" s="129"/>
      <c r="D460" s="129"/>
      <c r="E460" s="129"/>
      <c r="F460" s="129"/>
      <c r="G460" s="129"/>
      <c r="H460" s="129"/>
      <c r="I460" s="129"/>
      <c r="J460" s="129"/>
    </row>
    <row r="461" spans="1:10">
      <c r="A461" s="128"/>
      <c r="B461" s="129"/>
      <c r="C461" s="129"/>
      <c r="D461" s="129"/>
      <c r="E461" s="129"/>
      <c r="F461" s="129"/>
      <c r="G461" s="129"/>
      <c r="H461" s="129"/>
      <c r="I461" s="129"/>
      <c r="J461" s="129"/>
    </row>
    <row r="462" spans="1:10">
      <c r="A462" s="128"/>
      <c r="B462" s="129"/>
      <c r="C462" s="129"/>
      <c r="D462" s="129"/>
      <c r="E462" s="129"/>
      <c r="F462" s="129"/>
      <c r="G462" s="129"/>
      <c r="H462" s="129"/>
      <c r="I462" s="129"/>
      <c r="J462" s="129"/>
    </row>
    <row r="463" spans="1:10">
      <c r="A463" s="128"/>
      <c r="B463" s="129"/>
      <c r="C463" s="129"/>
      <c r="D463" s="129"/>
      <c r="E463" s="129"/>
      <c r="F463" s="129"/>
      <c r="G463" s="129"/>
      <c r="H463" s="129"/>
      <c r="I463" s="129"/>
      <c r="J463" s="129"/>
    </row>
    <row r="464" spans="1:10">
      <c r="A464" s="128"/>
      <c r="B464" s="129"/>
      <c r="C464" s="129"/>
      <c r="D464" s="129"/>
      <c r="E464" s="129"/>
      <c r="F464" s="129"/>
      <c r="G464" s="129"/>
      <c r="H464" s="129"/>
      <c r="I464" s="129"/>
      <c r="J464" s="129"/>
    </row>
    <row r="465" spans="1:10">
      <c r="A465" s="128"/>
      <c r="B465" s="129"/>
      <c r="C465" s="129"/>
      <c r="D465" s="129"/>
      <c r="E465" s="129"/>
      <c r="F465" s="129"/>
      <c r="G465" s="129"/>
      <c r="H465" s="129"/>
      <c r="I465" s="129"/>
      <c r="J465" s="129"/>
    </row>
    <row r="466" spans="1:10">
      <c r="A466" s="128"/>
      <c r="B466" s="129"/>
      <c r="C466" s="129"/>
      <c r="D466" s="129"/>
      <c r="E466" s="129"/>
      <c r="F466" s="129"/>
      <c r="G466" s="129"/>
      <c r="H466" s="129"/>
      <c r="I466" s="129"/>
      <c r="J466" s="129"/>
    </row>
    <row r="467" spans="1:10">
      <c r="A467" s="128"/>
      <c r="B467" s="129"/>
      <c r="C467" s="129"/>
      <c r="D467" s="129"/>
      <c r="E467" s="129"/>
      <c r="F467" s="129"/>
      <c r="G467" s="129"/>
      <c r="H467" s="129"/>
      <c r="I467" s="129"/>
      <c r="J467" s="129"/>
    </row>
    <row r="468" spans="1:10">
      <c r="A468" s="128"/>
      <c r="B468" s="129"/>
      <c r="C468" s="129"/>
      <c r="D468" s="129"/>
      <c r="E468" s="129"/>
      <c r="F468" s="129"/>
      <c r="G468" s="129"/>
      <c r="H468" s="129"/>
      <c r="I468" s="129"/>
      <c r="J468" s="129"/>
    </row>
    <row r="469" spans="1:10">
      <c r="A469" s="128"/>
      <c r="B469" s="129"/>
      <c r="C469" s="129"/>
      <c r="D469" s="129"/>
      <c r="E469" s="129"/>
      <c r="F469" s="129"/>
      <c r="G469" s="129"/>
      <c r="H469" s="129"/>
      <c r="I469" s="129"/>
      <c r="J469" s="129"/>
    </row>
    <row r="470" spans="1:10">
      <c r="A470" s="128"/>
      <c r="B470" s="129"/>
      <c r="C470" s="129"/>
      <c r="D470" s="129"/>
      <c r="E470" s="129"/>
      <c r="F470" s="129"/>
      <c r="G470" s="129"/>
      <c r="H470" s="129"/>
      <c r="I470" s="129"/>
      <c r="J470" s="129"/>
    </row>
    <row r="471" spans="1:10">
      <c r="A471" s="128"/>
      <c r="B471" s="129"/>
      <c r="C471" s="129"/>
      <c r="D471" s="129"/>
      <c r="E471" s="129"/>
      <c r="F471" s="129"/>
      <c r="G471" s="129"/>
      <c r="H471" s="129"/>
      <c r="I471" s="129"/>
      <c r="J471" s="129"/>
    </row>
    <row r="472" spans="1:10">
      <c r="A472" s="128"/>
      <c r="B472" s="129"/>
      <c r="C472" s="129"/>
      <c r="D472" s="129"/>
      <c r="E472" s="129"/>
      <c r="F472" s="129"/>
      <c r="G472" s="129"/>
      <c r="H472" s="129"/>
      <c r="I472" s="129"/>
      <c r="J472" s="129"/>
    </row>
    <row r="473" spans="1:10">
      <c r="A473" s="128"/>
      <c r="B473" s="129"/>
      <c r="C473" s="129"/>
      <c r="D473" s="129"/>
      <c r="E473" s="129"/>
      <c r="F473" s="129"/>
      <c r="G473" s="129"/>
      <c r="H473" s="129"/>
      <c r="I473" s="129"/>
      <c r="J473" s="129"/>
    </row>
    <row r="474" spans="1:10">
      <c r="A474" s="128"/>
      <c r="B474" s="129"/>
      <c r="C474" s="129"/>
      <c r="D474" s="129"/>
      <c r="E474" s="129"/>
      <c r="F474" s="129"/>
      <c r="G474" s="129"/>
      <c r="H474" s="129"/>
      <c r="I474" s="129"/>
      <c r="J474" s="129"/>
    </row>
    <row r="475" spans="1:10">
      <c r="A475" s="128"/>
      <c r="B475" s="129"/>
      <c r="C475" s="129"/>
      <c r="D475" s="129"/>
      <c r="E475" s="129"/>
      <c r="F475" s="129"/>
      <c r="G475" s="129"/>
      <c r="H475" s="129"/>
      <c r="I475" s="129"/>
      <c r="J475" s="129"/>
    </row>
    <row r="476" spans="1:10">
      <c r="A476" s="128"/>
      <c r="B476" s="129"/>
      <c r="C476" s="129"/>
      <c r="D476" s="129"/>
      <c r="E476" s="129"/>
      <c r="F476" s="129"/>
      <c r="G476" s="129"/>
      <c r="H476" s="129"/>
      <c r="I476" s="129"/>
      <c r="J476" s="129"/>
    </row>
    <row r="477" spans="1:10">
      <c r="A477" s="128"/>
      <c r="B477" s="129"/>
      <c r="C477" s="129"/>
      <c r="D477" s="129"/>
      <c r="E477" s="129"/>
      <c r="F477" s="129"/>
      <c r="G477" s="129"/>
      <c r="H477" s="129"/>
      <c r="I477" s="129"/>
      <c r="J477" s="129"/>
    </row>
    <row r="478" spans="1:10">
      <c r="A478" s="128"/>
      <c r="B478" s="129"/>
      <c r="C478" s="129"/>
      <c r="D478" s="129"/>
      <c r="E478" s="129"/>
      <c r="F478" s="129"/>
      <c r="G478" s="129"/>
      <c r="H478" s="129"/>
      <c r="I478" s="129"/>
      <c r="J478" s="129"/>
    </row>
    <row r="479" spans="1:10">
      <c r="A479" s="128"/>
      <c r="B479" s="129"/>
      <c r="C479" s="129"/>
      <c r="D479" s="129"/>
      <c r="E479" s="129"/>
      <c r="F479" s="129"/>
      <c r="G479" s="129"/>
      <c r="H479" s="129"/>
      <c r="I479" s="129"/>
      <c r="J479" s="129"/>
    </row>
    <row r="480" spans="1:10">
      <c r="A480" s="128"/>
      <c r="B480" s="129"/>
      <c r="C480" s="129"/>
      <c r="D480" s="129"/>
      <c r="E480" s="129"/>
      <c r="F480" s="129"/>
      <c r="G480" s="129"/>
      <c r="H480" s="129"/>
      <c r="I480" s="129"/>
      <c r="J480" s="129"/>
    </row>
    <row r="481" spans="1:10">
      <c r="A481" s="128"/>
      <c r="B481" s="129"/>
      <c r="C481" s="129"/>
      <c r="D481" s="129"/>
      <c r="E481" s="129"/>
      <c r="F481" s="129"/>
      <c r="G481" s="129"/>
      <c r="H481" s="129"/>
      <c r="I481" s="129"/>
      <c r="J481" s="129"/>
    </row>
    <row r="482" spans="1:10">
      <c r="A482" s="128"/>
      <c r="B482" s="129"/>
      <c r="C482" s="129"/>
      <c r="D482" s="129"/>
      <c r="E482" s="129"/>
      <c r="F482" s="129"/>
      <c r="G482" s="129"/>
      <c r="H482" s="129"/>
      <c r="I482" s="129"/>
      <c r="J482" s="129"/>
    </row>
    <row r="483" spans="1:10">
      <c r="A483" s="128"/>
      <c r="B483" s="129"/>
      <c r="C483" s="129"/>
      <c r="D483" s="129"/>
      <c r="E483" s="129"/>
      <c r="F483" s="129"/>
      <c r="G483" s="129"/>
      <c r="H483" s="129"/>
      <c r="I483" s="129"/>
      <c r="J483" s="129"/>
    </row>
    <row r="484" spans="1:10">
      <c r="A484" s="128"/>
      <c r="B484" s="129"/>
      <c r="C484" s="129"/>
      <c r="D484" s="129"/>
      <c r="E484" s="129"/>
      <c r="F484" s="129"/>
      <c r="G484" s="129"/>
      <c r="H484" s="129"/>
      <c r="I484" s="129"/>
      <c r="J484" s="129"/>
    </row>
    <row r="485" spans="1:10">
      <c r="A485" s="128"/>
      <c r="B485" s="129"/>
      <c r="C485" s="129"/>
      <c r="D485" s="129"/>
      <c r="E485" s="129"/>
      <c r="F485" s="129"/>
      <c r="G485" s="129"/>
      <c r="H485" s="129"/>
      <c r="I485" s="129"/>
      <c r="J485" s="129"/>
    </row>
    <row r="486" spans="1:10">
      <c r="A486" s="128"/>
      <c r="B486" s="129"/>
      <c r="C486" s="129"/>
      <c r="D486" s="129"/>
      <c r="E486" s="129"/>
      <c r="F486" s="129"/>
      <c r="G486" s="129"/>
      <c r="H486" s="129"/>
      <c r="I486" s="129"/>
      <c r="J486" s="129"/>
    </row>
    <row r="487" spans="1:10">
      <c r="A487" s="128"/>
      <c r="B487" s="129"/>
      <c r="C487" s="129"/>
      <c r="D487" s="129"/>
      <c r="E487" s="129"/>
      <c r="F487" s="129"/>
      <c r="G487" s="129"/>
      <c r="H487" s="129"/>
      <c r="I487" s="129"/>
      <c r="J487" s="129"/>
    </row>
    <row r="488" spans="1:10">
      <c r="A488" s="128"/>
      <c r="B488" s="129"/>
      <c r="C488" s="129"/>
      <c r="D488" s="129"/>
      <c r="E488" s="129"/>
      <c r="F488" s="129"/>
      <c r="G488" s="129"/>
      <c r="H488" s="129"/>
      <c r="I488" s="129"/>
      <c r="J488" s="129"/>
    </row>
    <row r="489" spans="1:10">
      <c r="A489" s="128"/>
      <c r="B489" s="129"/>
      <c r="C489" s="129"/>
      <c r="D489" s="129"/>
      <c r="E489" s="129"/>
      <c r="F489" s="129"/>
      <c r="G489" s="129"/>
      <c r="H489" s="129"/>
      <c r="I489" s="129"/>
      <c r="J489" s="129"/>
    </row>
    <row r="490" spans="1:10">
      <c r="A490" s="128"/>
      <c r="B490" s="129"/>
      <c r="C490" s="129"/>
      <c r="D490" s="129"/>
      <c r="E490" s="129"/>
      <c r="F490" s="129"/>
      <c r="G490" s="129"/>
      <c r="H490" s="129"/>
      <c r="I490" s="129"/>
      <c r="J490" s="129"/>
    </row>
    <row r="491" spans="1:10">
      <c r="A491" s="128"/>
      <c r="B491" s="129"/>
      <c r="C491" s="129"/>
      <c r="D491" s="129"/>
      <c r="E491" s="129"/>
      <c r="F491" s="129"/>
      <c r="G491" s="129"/>
      <c r="H491" s="129"/>
      <c r="I491" s="129"/>
      <c r="J491" s="129"/>
    </row>
    <row r="492" spans="1:10">
      <c r="A492" s="128"/>
      <c r="B492" s="129"/>
      <c r="C492" s="129"/>
      <c r="D492" s="129"/>
      <c r="E492" s="129"/>
      <c r="F492" s="129"/>
      <c r="G492" s="129"/>
      <c r="H492" s="129"/>
      <c r="I492" s="129"/>
      <c r="J492" s="129"/>
    </row>
    <row r="493" spans="1:10">
      <c r="A493" s="128"/>
      <c r="B493" s="129"/>
      <c r="C493" s="129"/>
      <c r="D493" s="129"/>
      <c r="E493" s="129"/>
      <c r="F493" s="129"/>
      <c r="G493" s="129"/>
      <c r="H493" s="129"/>
      <c r="I493" s="129"/>
      <c r="J493" s="129"/>
    </row>
    <row r="494" spans="1:10">
      <c r="A494" s="128"/>
      <c r="B494" s="129"/>
      <c r="C494" s="129"/>
      <c r="D494" s="129"/>
      <c r="E494" s="129"/>
      <c r="F494" s="129"/>
      <c r="G494" s="129"/>
      <c r="H494" s="129"/>
      <c r="I494" s="129"/>
      <c r="J494" s="129"/>
    </row>
    <row r="495" spans="1:10">
      <c r="A495" s="128"/>
      <c r="B495" s="129"/>
      <c r="C495" s="129"/>
      <c r="D495" s="129"/>
      <c r="E495" s="129"/>
      <c r="F495" s="129"/>
      <c r="G495" s="129"/>
      <c r="H495" s="129"/>
      <c r="I495" s="129"/>
      <c r="J495" s="129"/>
    </row>
    <row r="496" spans="1:10">
      <c r="A496" s="128"/>
      <c r="B496" s="129"/>
      <c r="C496" s="129"/>
      <c r="D496" s="129"/>
      <c r="E496" s="129"/>
      <c r="F496" s="129"/>
      <c r="G496" s="129"/>
      <c r="H496" s="129"/>
      <c r="I496" s="129"/>
      <c r="J496" s="129"/>
    </row>
    <row r="497" spans="1:10">
      <c r="A497" s="128"/>
      <c r="B497" s="129"/>
      <c r="C497" s="129"/>
      <c r="D497" s="129"/>
      <c r="E497" s="129"/>
      <c r="F497" s="129"/>
      <c r="G497" s="129"/>
      <c r="H497" s="129"/>
      <c r="I497" s="129"/>
      <c r="J497" s="129"/>
    </row>
    <row r="498" spans="1:10">
      <c r="A498" s="128"/>
      <c r="B498" s="129"/>
      <c r="C498" s="129"/>
      <c r="D498" s="129"/>
      <c r="E498" s="129"/>
      <c r="F498" s="129"/>
      <c r="G498" s="129"/>
      <c r="H498" s="129"/>
      <c r="I498" s="129"/>
      <c r="J498" s="129"/>
    </row>
    <row r="499" spans="1:10">
      <c r="A499" s="128"/>
      <c r="B499" s="129"/>
      <c r="C499" s="129"/>
      <c r="D499" s="129"/>
      <c r="E499" s="129"/>
      <c r="F499" s="129"/>
      <c r="G499" s="129"/>
      <c r="H499" s="129"/>
      <c r="I499" s="129"/>
      <c r="J499" s="129"/>
    </row>
    <row r="500" spans="1:10">
      <c r="A500" s="128"/>
      <c r="B500" s="129"/>
      <c r="C500" s="129"/>
      <c r="D500" s="129"/>
      <c r="E500" s="129"/>
      <c r="F500" s="129"/>
      <c r="G500" s="129"/>
      <c r="H500" s="129"/>
      <c r="I500" s="129"/>
      <c r="J500" s="129"/>
    </row>
    <row r="501" spans="1:10">
      <c r="A501" s="128"/>
      <c r="B501" s="129"/>
      <c r="C501" s="129"/>
      <c r="D501" s="129"/>
      <c r="E501" s="129"/>
      <c r="F501" s="129"/>
      <c r="G501" s="129"/>
      <c r="H501" s="129"/>
      <c r="I501" s="129"/>
      <c r="J501" s="129"/>
    </row>
    <row r="502" spans="1:10">
      <c r="A502" s="128"/>
      <c r="B502" s="129"/>
      <c r="C502" s="129"/>
      <c r="D502" s="129"/>
      <c r="E502" s="129"/>
      <c r="F502" s="129"/>
      <c r="G502" s="129"/>
      <c r="H502" s="129"/>
      <c r="I502" s="129"/>
      <c r="J502" s="129"/>
    </row>
    <row r="503" spans="1:10">
      <c r="A503" s="128"/>
      <c r="B503" s="129"/>
      <c r="C503" s="129"/>
      <c r="D503" s="129"/>
      <c r="E503" s="129"/>
      <c r="F503" s="129"/>
      <c r="G503" s="129"/>
      <c r="H503" s="129"/>
      <c r="I503" s="129"/>
      <c r="J503" s="129"/>
    </row>
    <row r="504" spans="1:10">
      <c r="A504" s="128"/>
      <c r="B504" s="129"/>
      <c r="C504" s="129"/>
      <c r="D504" s="129"/>
      <c r="E504" s="129"/>
      <c r="F504" s="129"/>
      <c r="G504" s="129"/>
      <c r="H504" s="129"/>
      <c r="I504" s="129"/>
      <c r="J504" s="129"/>
    </row>
    <row r="505" spans="1:10">
      <c r="A505" s="128"/>
      <c r="B505" s="129"/>
      <c r="C505" s="129"/>
      <c r="D505" s="129"/>
      <c r="E505" s="129"/>
      <c r="F505" s="129"/>
      <c r="G505" s="129"/>
      <c r="H505" s="129"/>
      <c r="I505" s="129"/>
      <c r="J505" s="129"/>
    </row>
    <row r="506" spans="1:10">
      <c r="A506" s="128"/>
      <c r="B506" s="129"/>
      <c r="C506" s="129"/>
      <c r="D506" s="129"/>
      <c r="E506" s="129"/>
      <c r="F506" s="129"/>
      <c r="G506" s="129"/>
      <c r="H506" s="129"/>
      <c r="I506" s="129"/>
      <c r="J506" s="129"/>
    </row>
    <row r="507" spans="1:10">
      <c r="A507" s="128"/>
      <c r="B507" s="129"/>
      <c r="C507" s="129"/>
      <c r="D507" s="129"/>
      <c r="E507" s="129"/>
      <c r="F507" s="129"/>
      <c r="G507" s="129"/>
      <c r="H507" s="129"/>
      <c r="I507" s="129"/>
      <c r="J507" s="129"/>
    </row>
    <row r="508" spans="1:10">
      <c r="A508" s="128"/>
      <c r="B508" s="129"/>
      <c r="C508" s="129"/>
      <c r="D508" s="129"/>
      <c r="E508" s="129"/>
      <c r="F508" s="129"/>
      <c r="G508" s="129"/>
      <c r="H508" s="129"/>
      <c r="I508" s="129"/>
      <c r="J508" s="129"/>
    </row>
    <row r="509" spans="1:10">
      <c r="A509" s="128"/>
      <c r="B509" s="129"/>
      <c r="C509" s="129"/>
      <c r="D509" s="129"/>
      <c r="E509" s="129"/>
      <c r="F509" s="129"/>
      <c r="G509" s="129"/>
      <c r="H509" s="129"/>
      <c r="I509" s="129"/>
      <c r="J509" s="129"/>
    </row>
    <row r="510" spans="1:10">
      <c r="A510" s="128"/>
      <c r="B510" s="129"/>
      <c r="C510" s="129"/>
      <c r="D510" s="129"/>
      <c r="E510" s="129"/>
      <c r="F510" s="129"/>
      <c r="G510" s="129"/>
      <c r="H510" s="129"/>
      <c r="I510" s="129"/>
      <c r="J510" s="129"/>
    </row>
    <row r="511" spans="1:10">
      <c r="A511" s="128"/>
      <c r="B511" s="129"/>
      <c r="C511" s="129"/>
      <c r="D511" s="129"/>
      <c r="E511" s="129"/>
      <c r="F511" s="129"/>
      <c r="G511" s="129"/>
      <c r="H511" s="129"/>
      <c r="I511" s="129"/>
      <c r="J511" s="129"/>
    </row>
    <row r="512" spans="1:10">
      <c r="A512" s="128"/>
      <c r="B512" s="129"/>
      <c r="C512" s="129"/>
      <c r="D512" s="129"/>
      <c r="E512" s="129"/>
      <c r="F512" s="129"/>
      <c r="G512" s="129"/>
      <c r="H512" s="129"/>
      <c r="I512" s="129"/>
      <c r="J512" s="129"/>
    </row>
    <row r="513" spans="1:10">
      <c r="A513" s="128"/>
      <c r="B513" s="129"/>
      <c r="C513" s="129"/>
      <c r="D513" s="129"/>
      <c r="E513" s="129"/>
      <c r="F513" s="129"/>
      <c r="G513" s="129"/>
      <c r="H513" s="129"/>
      <c r="I513" s="129"/>
      <c r="J513" s="129"/>
    </row>
    <row r="514" spans="1:10">
      <c r="A514" s="128"/>
      <c r="B514" s="129"/>
      <c r="C514" s="129"/>
      <c r="D514" s="129"/>
      <c r="E514" s="129"/>
      <c r="F514" s="129"/>
      <c r="G514" s="129"/>
      <c r="H514" s="129"/>
      <c r="I514" s="129"/>
      <c r="J514" s="129"/>
    </row>
    <row r="515" spans="1:10">
      <c r="A515" s="128"/>
      <c r="B515" s="129"/>
      <c r="C515" s="129"/>
      <c r="D515" s="129"/>
      <c r="E515" s="129"/>
      <c r="F515" s="129"/>
      <c r="G515" s="129"/>
      <c r="H515" s="129"/>
      <c r="I515" s="129"/>
      <c r="J515" s="129"/>
    </row>
    <row r="516" spans="1:10">
      <c r="A516" s="128"/>
      <c r="B516" s="129"/>
      <c r="C516" s="129"/>
      <c r="D516" s="129"/>
      <c r="E516" s="129"/>
      <c r="F516" s="129"/>
      <c r="G516" s="129"/>
      <c r="H516" s="129"/>
      <c r="I516" s="129"/>
      <c r="J516" s="129"/>
    </row>
    <row r="517" spans="1:10">
      <c r="A517" s="128"/>
      <c r="B517" s="129"/>
      <c r="C517" s="129"/>
      <c r="D517" s="129"/>
      <c r="E517" s="129"/>
      <c r="F517" s="129"/>
      <c r="G517" s="129"/>
      <c r="H517" s="129"/>
      <c r="I517" s="129"/>
      <c r="J517" s="129"/>
    </row>
    <row r="518" spans="1:10">
      <c r="A518" s="128"/>
      <c r="B518" s="129"/>
      <c r="C518" s="129"/>
      <c r="D518" s="129"/>
      <c r="E518" s="129"/>
      <c r="F518" s="129"/>
      <c r="G518" s="129"/>
      <c r="H518" s="129"/>
      <c r="I518" s="129"/>
      <c r="J518" s="129"/>
    </row>
    <row r="519" spans="1:10">
      <c r="A519" s="128"/>
      <c r="B519" s="129"/>
      <c r="C519" s="129"/>
      <c r="D519" s="129"/>
      <c r="E519" s="129"/>
      <c r="F519" s="129"/>
      <c r="G519" s="129"/>
      <c r="H519" s="129"/>
      <c r="I519" s="129"/>
      <c r="J519" s="129"/>
    </row>
    <row r="520" spans="1:10">
      <c r="A520" s="128"/>
      <c r="B520" s="129"/>
      <c r="C520" s="129"/>
      <c r="D520" s="129"/>
      <c r="E520" s="129"/>
      <c r="F520" s="129"/>
      <c r="G520" s="129"/>
      <c r="H520" s="129"/>
      <c r="I520" s="129"/>
      <c r="J520" s="129"/>
    </row>
    <row r="521" spans="1:10">
      <c r="A521" s="128"/>
      <c r="B521" s="129"/>
      <c r="C521" s="129"/>
      <c r="D521" s="129"/>
      <c r="E521" s="129"/>
      <c r="F521" s="129"/>
      <c r="G521" s="129"/>
      <c r="H521" s="129"/>
      <c r="I521" s="129"/>
      <c r="J521" s="129"/>
    </row>
    <row r="522" spans="1:10">
      <c r="A522" s="128"/>
      <c r="B522" s="129"/>
      <c r="C522" s="129"/>
      <c r="D522" s="129"/>
      <c r="E522" s="129"/>
      <c r="F522" s="129"/>
      <c r="G522" s="129"/>
      <c r="H522" s="129"/>
      <c r="I522" s="129"/>
      <c r="J522" s="129"/>
    </row>
    <row r="523" spans="1:10">
      <c r="A523" s="128"/>
      <c r="B523" s="129"/>
      <c r="C523" s="129"/>
      <c r="D523" s="129"/>
      <c r="E523" s="129"/>
      <c r="F523" s="129"/>
      <c r="G523" s="129"/>
      <c r="H523" s="129"/>
      <c r="I523" s="129"/>
      <c r="J523" s="129"/>
    </row>
    <row r="524" spans="1:10">
      <c r="A524" s="128"/>
      <c r="B524" s="129"/>
      <c r="C524" s="129"/>
      <c r="D524" s="129"/>
      <c r="E524" s="129"/>
      <c r="F524" s="129"/>
      <c r="G524" s="129"/>
      <c r="H524" s="129"/>
      <c r="I524" s="129"/>
      <c r="J524" s="129"/>
    </row>
    <row r="525" spans="1:10">
      <c r="A525" s="128"/>
      <c r="B525" s="129"/>
      <c r="C525" s="129"/>
      <c r="D525" s="129"/>
      <c r="E525" s="129"/>
      <c r="F525" s="129"/>
      <c r="G525" s="129"/>
      <c r="H525" s="129"/>
      <c r="I525" s="129"/>
      <c r="J525" s="129"/>
    </row>
    <row r="526" spans="1:10">
      <c r="A526" s="128"/>
      <c r="B526" s="129"/>
      <c r="C526" s="129"/>
      <c r="D526" s="129"/>
      <c r="E526" s="129"/>
      <c r="F526" s="129"/>
      <c r="G526" s="129"/>
      <c r="H526" s="129"/>
      <c r="I526" s="129"/>
      <c r="J526" s="129"/>
    </row>
    <row r="527" spans="1:10">
      <c r="A527" s="128"/>
      <c r="B527" s="129"/>
      <c r="C527" s="129"/>
      <c r="D527" s="129"/>
      <c r="E527" s="129"/>
      <c r="F527" s="129"/>
      <c r="G527" s="129"/>
      <c r="H527" s="129"/>
      <c r="I527" s="129"/>
      <c r="J527" s="129"/>
    </row>
    <row r="528" spans="1:10">
      <c r="A528" s="128"/>
      <c r="B528" s="129"/>
      <c r="C528" s="129"/>
      <c r="D528" s="129"/>
      <c r="E528" s="129"/>
      <c r="F528" s="129"/>
      <c r="G528" s="129"/>
      <c r="H528" s="129"/>
      <c r="I528" s="129"/>
      <c r="J528" s="129"/>
    </row>
    <row r="529" spans="1:10">
      <c r="A529" s="128"/>
      <c r="B529" s="129"/>
      <c r="C529" s="129"/>
      <c r="D529" s="129"/>
      <c r="E529" s="129"/>
      <c r="F529" s="129"/>
      <c r="G529" s="129"/>
      <c r="H529" s="129"/>
      <c r="I529" s="129"/>
      <c r="J529" s="129"/>
    </row>
    <row r="530" spans="1:10">
      <c r="A530" s="128"/>
      <c r="B530" s="129"/>
      <c r="C530" s="129"/>
      <c r="D530" s="129"/>
      <c r="E530" s="129"/>
      <c r="F530" s="129"/>
      <c r="G530" s="129"/>
      <c r="H530" s="129"/>
      <c r="I530" s="129"/>
      <c r="J530" s="129"/>
    </row>
    <row r="531" spans="1:10">
      <c r="A531" s="128"/>
      <c r="B531" s="129"/>
      <c r="C531" s="129"/>
      <c r="D531" s="129"/>
      <c r="E531" s="129"/>
      <c r="F531" s="129"/>
      <c r="G531" s="129"/>
      <c r="H531" s="129"/>
      <c r="I531" s="129"/>
      <c r="J531" s="129"/>
    </row>
    <row r="532" spans="1:10">
      <c r="A532" s="128"/>
      <c r="B532" s="129"/>
      <c r="C532" s="129"/>
      <c r="D532" s="129"/>
      <c r="E532" s="129"/>
      <c r="F532" s="129"/>
      <c r="G532" s="129"/>
      <c r="H532" s="129"/>
      <c r="I532" s="129"/>
      <c r="J532" s="129"/>
    </row>
    <row r="533" spans="1:10">
      <c r="A533" s="128"/>
      <c r="B533" s="129"/>
      <c r="C533" s="129"/>
      <c r="D533" s="129"/>
      <c r="E533" s="129"/>
      <c r="F533" s="129"/>
      <c r="G533" s="129"/>
      <c r="H533" s="129"/>
      <c r="I533" s="129"/>
      <c r="J533" s="129"/>
    </row>
    <row r="534" spans="1:10">
      <c r="A534" s="128"/>
      <c r="B534" s="129"/>
      <c r="C534" s="129"/>
      <c r="D534" s="129"/>
      <c r="E534" s="129"/>
      <c r="F534" s="129"/>
      <c r="G534" s="129"/>
      <c r="H534" s="129"/>
      <c r="I534" s="129"/>
      <c r="J534" s="129"/>
    </row>
    <row r="535" spans="1:10">
      <c r="A535" s="128"/>
      <c r="B535" s="129"/>
      <c r="C535" s="129"/>
      <c r="D535" s="129"/>
      <c r="E535" s="129"/>
      <c r="F535" s="129"/>
      <c r="G535" s="129"/>
      <c r="H535" s="129"/>
      <c r="I535" s="129"/>
      <c r="J535" s="129"/>
    </row>
    <row r="536" spans="1:10">
      <c r="A536" s="128"/>
      <c r="B536" s="129"/>
      <c r="C536" s="129"/>
      <c r="D536" s="129"/>
      <c r="E536" s="129"/>
      <c r="F536" s="129"/>
      <c r="G536" s="129"/>
      <c r="H536" s="129"/>
      <c r="I536" s="129"/>
      <c r="J536" s="129"/>
    </row>
    <row r="537" spans="1:10">
      <c r="A537" s="128"/>
      <c r="B537" s="129"/>
      <c r="C537" s="129"/>
      <c r="D537" s="129"/>
      <c r="E537" s="129"/>
      <c r="F537" s="129"/>
      <c r="G537" s="129"/>
      <c r="H537" s="129"/>
      <c r="I537" s="129"/>
      <c r="J537" s="129"/>
    </row>
    <row r="538" spans="1:10">
      <c r="A538" s="128"/>
      <c r="B538" s="129"/>
      <c r="C538" s="129"/>
      <c r="D538" s="129"/>
      <c r="E538" s="129"/>
      <c r="F538" s="129"/>
      <c r="G538" s="129"/>
      <c r="H538" s="129"/>
      <c r="I538" s="129"/>
      <c r="J538" s="129"/>
    </row>
    <row r="539" spans="1:10">
      <c r="A539" s="128"/>
      <c r="B539" s="129"/>
      <c r="C539" s="129"/>
      <c r="D539" s="129"/>
      <c r="E539" s="129"/>
      <c r="F539" s="129"/>
      <c r="G539" s="129"/>
      <c r="H539" s="129"/>
      <c r="I539" s="129"/>
      <c r="J539" s="129"/>
    </row>
    <row r="540" spans="1:10">
      <c r="A540" s="128"/>
      <c r="B540" s="129"/>
      <c r="C540" s="129"/>
      <c r="D540" s="129"/>
      <c r="E540" s="129"/>
      <c r="F540" s="129"/>
      <c r="G540" s="129"/>
      <c r="H540" s="129"/>
      <c r="I540" s="129"/>
      <c r="J540" s="129"/>
    </row>
    <row r="541" spans="1:10">
      <c r="A541" s="128"/>
      <c r="B541" s="129"/>
      <c r="C541" s="129"/>
      <c r="D541" s="129"/>
      <c r="E541" s="129"/>
      <c r="F541" s="129"/>
      <c r="G541" s="129"/>
      <c r="H541" s="129"/>
      <c r="I541" s="129"/>
      <c r="J541" s="129"/>
    </row>
    <row r="542" spans="1:10">
      <c r="A542" s="128"/>
      <c r="B542" s="129"/>
      <c r="C542" s="129"/>
      <c r="D542" s="129"/>
      <c r="E542" s="129"/>
      <c r="F542" s="129"/>
      <c r="G542" s="129"/>
      <c r="H542" s="129"/>
      <c r="I542" s="129"/>
      <c r="J542" s="129"/>
    </row>
    <row r="543" spans="1:10">
      <c r="A543" s="128"/>
      <c r="B543" s="129"/>
      <c r="C543" s="129"/>
      <c r="D543" s="129"/>
      <c r="E543" s="129"/>
      <c r="F543" s="129"/>
      <c r="G543" s="129"/>
      <c r="H543" s="129"/>
      <c r="I543" s="129"/>
      <c r="J543" s="129"/>
    </row>
    <row r="544" spans="1:10">
      <c r="A544" s="128"/>
      <c r="B544" s="129"/>
      <c r="C544" s="129"/>
      <c r="D544" s="129"/>
      <c r="E544" s="129"/>
      <c r="F544" s="129"/>
      <c r="G544" s="129"/>
      <c r="H544" s="129"/>
      <c r="I544" s="129"/>
      <c r="J544" s="129"/>
    </row>
    <row r="545" spans="1:10">
      <c r="A545" s="128"/>
      <c r="B545" s="129"/>
      <c r="C545" s="129"/>
      <c r="D545" s="129"/>
      <c r="E545" s="129"/>
      <c r="F545" s="129"/>
      <c r="G545" s="129"/>
      <c r="H545" s="129"/>
      <c r="I545" s="129"/>
      <c r="J545" s="129"/>
    </row>
    <row r="546" spans="1:10">
      <c r="A546" s="128"/>
      <c r="B546" s="129"/>
      <c r="C546" s="129"/>
      <c r="D546" s="129"/>
      <c r="E546" s="129"/>
      <c r="F546" s="129"/>
      <c r="G546" s="129"/>
      <c r="H546" s="129"/>
      <c r="I546" s="129"/>
      <c r="J546" s="129"/>
    </row>
    <row r="547" spans="1:10">
      <c r="A547" s="128"/>
      <c r="B547" s="129"/>
      <c r="C547" s="129"/>
      <c r="D547" s="129"/>
      <c r="E547" s="129"/>
      <c r="F547" s="129"/>
      <c r="G547" s="129"/>
      <c r="H547" s="129"/>
      <c r="I547" s="129"/>
      <c r="J547" s="129"/>
    </row>
    <row r="548" spans="1:10">
      <c r="A548" s="128"/>
      <c r="B548" s="129"/>
      <c r="C548" s="129"/>
      <c r="D548" s="129"/>
      <c r="E548" s="129"/>
      <c r="F548" s="129"/>
      <c r="G548" s="129"/>
      <c r="H548" s="129"/>
      <c r="I548" s="129"/>
      <c r="J548" s="129"/>
    </row>
    <row r="549" spans="1:10">
      <c r="A549" s="128"/>
      <c r="B549" s="129"/>
      <c r="C549" s="129"/>
      <c r="D549" s="129"/>
      <c r="E549" s="129"/>
      <c r="F549" s="129"/>
      <c r="G549" s="129"/>
      <c r="H549" s="129"/>
      <c r="I549" s="129"/>
      <c r="J549" s="129"/>
    </row>
    <row r="550" spans="1:10">
      <c r="A550" s="128"/>
      <c r="B550" s="129"/>
      <c r="C550" s="129"/>
      <c r="D550" s="129"/>
      <c r="E550" s="129"/>
      <c r="F550" s="129"/>
      <c r="G550" s="129"/>
      <c r="H550" s="129"/>
      <c r="I550" s="129"/>
      <c r="J550" s="129"/>
    </row>
    <row r="551" spans="1:10">
      <c r="A551" s="128"/>
      <c r="B551" s="129"/>
      <c r="C551" s="129"/>
      <c r="D551" s="129"/>
      <c r="E551" s="129"/>
      <c r="F551" s="129"/>
      <c r="G551" s="129"/>
      <c r="H551" s="129"/>
      <c r="I551" s="129"/>
      <c r="J551" s="129"/>
    </row>
    <row r="552" spans="1:10">
      <c r="A552" s="128"/>
      <c r="B552" s="129"/>
      <c r="C552" s="129"/>
      <c r="D552" s="129"/>
      <c r="E552" s="129"/>
      <c r="F552" s="129"/>
      <c r="G552" s="129"/>
      <c r="H552" s="129"/>
      <c r="I552" s="129"/>
      <c r="J552" s="129"/>
    </row>
    <row r="553" spans="1:10">
      <c r="A553" s="128"/>
      <c r="B553" s="129"/>
      <c r="C553" s="129"/>
      <c r="D553" s="129"/>
      <c r="E553" s="129"/>
      <c r="F553" s="129"/>
      <c r="G553" s="129"/>
      <c r="H553" s="129"/>
      <c r="I553" s="129"/>
      <c r="J553" s="129"/>
    </row>
    <row r="554" spans="1:10">
      <c r="A554" s="128"/>
      <c r="B554" s="129"/>
      <c r="C554" s="129"/>
      <c r="D554" s="129"/>
      <c r="E554" s="129"/>
      <c r="F554" s="129"/>
      <c r="G554" s="129"/>
      <c r="H554" s="129"/>
      <c r="I554" s="129"/>
      <c r="J554" s="129"/>
    </row>
    <row r="555" spans="1:10">
      <c r="A555" s="128"/>
      <c r="B555" s="129"/>
      <c r="C555" s="129"/>
      <c r="D555" s="129"/>
      <c r="E555" s="129"/>
      <c r="F555" s="129"/>
      <c r="G555" s="129"/>
      <c r="H555" s="129"/>
      <c r="I555" s="129"/>
      <c r="J555" s="129"/>
    </row>
    <row r="556" spans="1:10">
      <c r="A556" s="128"/>
      <c r="B556" s="129"/>
      <c r="C556" s="129"/>
      <c r="D556" s="129"/>
      <c r="E556" s="129"/>
      <c r="F556" s="129"/>
      <c r="G556" s="129"/>
      <c r="H556" s="129"/>
      <c r="I556" s="129"/>
      <c r="J556" s="129"/>
    </row>
    <row r="557" spans="1:10">
      <c r="A557" s="128"/>
      <c r="B557" s="129"/>
      <c r="C557" s="129"/>
      <c r="D557" s="129"/>
      <c r="E557" s="129"/>
      <c r="F557" s="129"/>
      <c r="G557" s="129"/>
      <c r="H557" s="129"/>
      <c r="I557" s="129"/>
      <c r="J557" s="129"/>
    </row>
    <row r="558" spans="1:10">
      <c r="A558" s="128"/>
      <c r="B558" s="129"/>
      <c r="C558" s="129"/>
      <c r="D558" s="129"/>
      <c r="E558" s="129"/>
      <c r="F558" s="129"/>
      <c r="G558" s="129"/>
      <c r="H558" s="129"/>
      <c r="I558" s="129"/>
      <c r="J558" s="129"/>
    </row>
    <row r="559" spans="1:10">
      <c r="A559" s="128"/>
      <c r="B559" s="129"/>
      <c r="C559" s="129"/>
      <c r="D559" s="129"/>
      <c r="E559" s="129"/>
      <c r="F559" s="129"/>
      <c r="G559" s="129"/>
      <c r="H559" s="129"/>
      <c r="I559" s="129"/>
      <c r="J559" s="129"/>
    </row>
    <row r="560" spans="1:10">
      <c r="A560" s="128"/>
      <c r="B560" s="129"/>
      <c r="C560" s="129"/>
      <c r="D560" s="129"/>
      <c r="E560" s="129"/>
      <c r="F560" s="129"/>
      <c r="G560" s="129"/>
      <c r="H560" s="129"/>
      <c r="I560" s="129"/>
      <c r="J560" s="129"/>
    </row>
    <row r="561" spans="1:10">
      <c r="A561" s="128"/>
      <c r="B561" s="129"/>
      <c r="C561" s="129"/>
      <c r="D561" s="129"/>
      <c r="E561" s="129"/>
      <c r="F561" s="129"/>
      <c r="G561" s="129"/>
      <c r="H561" s="129"/>
      <c r="I561" s="129"/>
      <c r="J561" s="129"/>
    </row>
    <row r="562" spans="1:10">
      <c r="A562" s="128"/>
      <c r="B562" s="129"/>
      <c r="C562" s="129"/>
      <c r="D562" s="129"/>
      <c r="E562" s="129"/>
      <c r="F562" s="129"/>
      <c r="G562" s="129"/>
      <c r="H562" s="129"/>
      <c r="I562" s="129"/>
      <c r="J562" s="129"/>
    </row>
    <row r="563" spans="1:10">
      <c r="A563" s="128"/>
      <c r="B563" s="129"/>
      <c r="C563" s="129"/>
      <c r="D563" s="129"/>
      <c r="E563" s="129"/>
      <c r="F563" s="129"/>
      <c r="G563" s="129"/>
      <c r="H563" s="129"/>
      <c r="I563" s="129"/>
      <c r="J563" s="129"/>
    </row>
    <row r="564" spans="1:10">
      <c r="A564" s="128"/>
      <c r="B564" s="129"/>
      <c r="C564" s="129"/>
      <c r="D564" s="129"/>
      <c r="E564" s="129"/>
      <c r="F564" s="129"/>
      <c r="G564" s="129"/>
      <c r="H564" s="129"/>
      <c r="I564" s="129"/>
      <c r="J564" s="129"/>
    </row>
    <row r="565" spans="1:10">
      <c r="A565" s="128"/>
      <c r="B565" s="129"/>
      <c r="C565" s="129"/>
      <c r="D565" s="129"/>
      <c r="E565" s="129"/>
      <c r="F565" s="129"/>
      <c r="G565" s="129"/>
      <c r="H565" s="129"/>
      <c r="I565" s="129"/>
      <c r="J565" s="129"/>
    </row>
    <row r="566" spans="1:10">
      <c r="A566" s="128"/>
      <c r="B566" s="129"/>
      <c r="C566" s="129"/>
      <c r="D566" s="129"/>
      <c r="E566" s="129"/>
      <c r="F566" s="129"/>
      <c r="G566" s="129"/>
      <c r="H566" s="129"/>
      <c r="I566" s="129"/>
      <c r="J566" s="129"/>
    </row>
    <row r="567" spans="1:10">
      <c r="A567" s="128"/>
      <c r="B567" s="129"/>
      <c r="C567" s="129"/>
      <c r="D567" s="129"/>
      <c r="E567" s="129"/>
      <c r="F567" s="129"/>
      <c r="G567" s="129"/>
      <c r="H567" s="129"/>
      <c r="I567" s="129"/>
      <c r="J567" s="129"/>
    </row>
    <row r="568" spans="1:10">
      <c r="A568" s="128"/>
      <c r="B568" s="129"/>
      <c r="C568" s="129"/>
      <c r="D568" s="129"/>
      <c r="E568" s="129"/>
      <c r="F568" s="129"/>
      <c r="G568" s="129"/>
      <c r="H568" s="129"/>
      <c r="I568" s="129"/>
      <c r="J568" s="129"/>
    </row>
    <row r="569" spans="1:10">
      <c r="A569" s="128"/>
      <c r="B569" s="129"/>
      <c r="C569" s="129"/>
      <c r="D569" s="129"/>
      <c r="E569" s="129"/>
      <c r="F569" s="129"/>
      <c r="G569" s="129"/>
      <c r="H569" s="129"/>
      <c r="I569" s="129"/>
      <c r="J569" s="129"/>
    </row>
    <row r="570" spans="1:10">
      <c r="A570" s="128"/>
      <c r="B570" s="129"/>
      <c r="C570" s="129"/>
      <c r="D570" s="129"/>
      <c r="E570" s="129"/>
      <c r="F570" s="129"/>
      <c r="G570" s="129"/>
      <c r="H570" s="129"/>
      <c r="I570" s="129"/>
      <c r="J570" s="129"/>
    </row>
    <row r="571" spans="1:10">
      <c r="A571" s="128"/>
      <c r="B571" s="129"/>
      <c r="C571" s="129"/>
      <c r="D571" s="129"/>
      <c r="E571" s="129"/>
      <c r="F571" s="129"/>
      <c r="G571" s="129"/>
      <c r="H571" s="129"/>
      <c r="I571" s="129"/>
      <c r="J571" s="129"/>
    </row>
    <row r="572" spans="1:10">
      <c r="A572" s="128"/>
      <c r="B572" s="129"/>
      <c r="C572" s="129"/>
      <c r="D572" s="129"/>
      <c r="E572" s="129"/>
      <c r="F572" s="129"/>
      <c r="G572" s="129"/>
      <c r="H572" s="129"/>
      <c r="I572" s="129"/>
      <c r="J572" s="129"/>
    </row>
    <row r="573" spans="1:10">
      <c r="A573" s="128"/>
      <c r="B573" s="129"/>
      <c r="C573" s="129"/>
      <c r="D573" s="129"/>
      <c r="E573" s="129"/>
      <c r="F573" s="129"/>
      <c r="G573" s="129"/>
      <c r="H573" s="129"/>
      <c r="I573" s="129"/>
      <c r="J573" s="129"/>
    </row>
    <row r="574" spans="1:10">
      <c r="A574" s="128"/>
      <c r="B574" s="129"/>
      <c r="C574" s="129"/>
      <c r="D574" s="129"/>
      <c r="E574" s="129"/>
      <c r="F574" s="129"/>
      <c r="G574" s="129"/>
      <c r="H574" s="129"/>
      <c r="I574" s="129"/>
      <c r="J574" s="129"/>
    </row>
    <row r="575" spans="1:10">
      <c r="A575" s="128"/>
      <c r="B575" s="129"/>
      <c r="C575" s="129"/>
      <c r="D575" s="129"/>
      <c r="E575" s="129"/>
      <c r="F575" s="129"/>
      <c r="G575" s="129"/>
      <c r="H575" s="129"/>
      <c r="I575" s="129"/>
      <c r="J575" s="129"/>
    </row>
    <row r="576" spans="1:10">
      <c r="A576" s="128"/>
      <c r="B576" s="129"/>
      <c r="C576" s="129"/>
      <c r="D576" s="129"/>
      <c r="E576" s="129"/>
      <c r="F576" s="129"/>
      <c r="G576" s="129"/>
      <c r="H576" s="129"/>
      <c r="I576" s="129"/>
      <c r="J576" s="129"/>
    </row>
    <row r="577" spans="1:10">
      <c r="A577" s="128"/>
      <c r="B577" s="129"/>
      <c r="C577" s="129"/>
      <c r="D577" s="129"/>
      <c r="E577" s="129"/>
      <c r="F577" s="129"/>
      <c r="G577" s="129"/>
      <c r="H577" s="129"/>
      <c r="I577" s="129"/>
      <c r="J577" s="129"/>
    </row>
    <row r="578" spans="1:10">
      <c r="A578" s="128"/>
      <c r="B578" s="129"/>
      <c r="C578" s="129"/>
      <c r="D578" s="129"/>
      <c r="E578" s="129"/>
      <c r="F578" s="129"/>
      <c r="G578" s="129"/>
      <c r="H578" s="129"/>
      <c r="I578" s="129"/>
      <c r="J578" s="129"/>
    </row>
    <row r="579" spans="1:10">
      <c r="A579" s="128"/>
      <c r="B579" s="129"/>
      <c r="C579" s="129"/>
      <c r="D579" s="129"/>
      <c r="E579" s="129"/>
      <c r="F579" s="129"/>
      <c r="G579" s="129"/>
      <c r="H579" s="129"/>
      <c r="I579" s="129"/>
      <c r="J579" s="129"/>
    </row>
    <row r="580" spans="1:10">
      <c r="A580" s="128"/>
      <c r="B580" s="129"/>
      <c r="C580" s="129"/>
      <c r="D580" s="129"/>
      <c r="E580" s="129"/>
      <c r="F580" s="129"/>
      <c r="G580" s="129"/>
      <c r="H580" s="129"/>
      <c r="I580" s="129"/>
      <c r="J580" s="129"/>
    </row>
    <row r="581" spans="1:10">
      <c r="A581" s="128"/>
      <c r="B581" s="129"/>
      <c r="C581" s="129"/>
      <c r="D581" s="129"/>
      <c r="E581" s="129"/>
      <c r="F581" s="129"/>
      <c r="G581" s="129"/>
      <c r="H581" s="129"/>
      <c r="I581" s="129"/>
      <c r="J581" s="129"/>
    </row>
    <row r="582" spans="1:10">
      <c r="A582" s="128"/>
      <c r="B582" s="129"/>
      <c r="C582" s="129"/>
      <c r="D582" s="129"/>
      <c r="E582" s="129"/>
      <c r="F582" s="129"/>
      <c r="G582" s="129"/>
      <c r="H582" s="129"/>
      <c r="I582" s="129"/>
      <c r="J582" s="129"/>
    </row>
    <row r="583" spans="1:10">
      <c r="A583" s="128"/>
      <c r="B583" s="129"/>
      <c r="C583" s="129"/>
      <c r="D583" s="129"/>
      <c r="E583" s="129"/>
      <c r="F583" s="129"/>
      <c r="G583" s="129"/>
      <c r="H583" s="129"/>
      <c r="I583" s="129"/>
      <c r="J583" s="129"/>
    </row>
    <row r="584" spans="1:10">
      <c r="A584" s="128"/>
      <c r="B584" s="129"/>
      <c r="C584" s="129"/>
      <c r="D584" s="129"/>
      <c r="E584" s="129"/>
      <c r="F584" s="129"/>
      <c r="G584" s="129"/>
      <c r="H584" s="129"/>
      <c r="I584" s="129"/>
      <c r="J584" s="129"/>
    </row>
    <row r="585" spans="1:10">
      <c r="A585" s="128"/>
      <c r="B585" s="129"/>
      <c r="C585" s="129"/>
      <c r="D585" s="129"/>
      <c r="E585" s="129"/>
      <c r="F585" s="129"/>
      <c r="G585" s="129"/>
      <c r="H585" s="129"/>
      <c r="I585" s="129"/>
      <c r="J585" s="129"/>
    </row>
    <row r="586" spans="1:10">
      <c r="A586" s="128"/>
      <c r="B586" s="129"/>
      <c r="C586" s="129"/>
      <c r="D586" s="129"/>
      <c r="E586" s="129"/>
      <c r="F586" s="129"/>
      <c r="G586" s="129"/>
      <c r="H586" s="129"/>
      <c r="I586" s="129"/>
      <c r="J586" s="129"/>
    </row>
    <row r="587" spans="1:10">
      <c r="A587" s="128"/>
      <c r="B587" s="129"/>
      <c r="C587" s="129"/>
      <c r="D587" s="129"/>
      <c r="E587" s="129"/>
      <c r="F587" s="129"/>
      <c r="G587" s="129"/>
      <c r="H587" s="129"/>
      <c r="I587" s="129"/>
      <c r="J587" s="129"/>
    </row>
    <row r="588" spans="1:10">
      <c r="A588" s="128"/>
      <c r="B588" s="129"/>
      <c r="C588" s="129"/>
      <c r="D588" s="129"/>
      <c r="E588" s="129"/>
      <c r="F588" s="129"/>
      <c r="G588" s="129"/>
      <c r="H588" s="129"/>
      <c r="I588" s="129"/>
      <c r="J588" s="129"/>
    </row>
    <row r="589" spans="1:10">
      <c r="A589" s="128"/>
      <c r="B589" s="129"/>
      <c r="C589" s="129"/>
      <c r="D589" s="129"/>
      <c r="E589" s="129"/>
      <c r="F589" s="129"/>
      <c r="G589" s="129"/>
      <c r="H589" s="129"/>
      <c r="I589" s="129"/>
      <c r="J589" s="129"/>
    </row>
    <row r="590" spans="1:10">
      <c r="A590" s="128"/>
      <c r="B590" s="129"/>
      <c r="C590" s="129"/>
      <c r="D590" s="129"/>
      <c r="E590" s="129"/>
      <c r="F590" s="129"/>
      <c r="G590" s="129"/>
      <c r="H590" s="129"/>
      <c r="I590" s="129"/>
      <c r="J590" s="129"/>
    </row>
    <row r="591" spans="1:10">
      <c r="A591" s="128"/>
      <c r="B591" s="129"/>
      <c r="C591" s="129"/>
      <c r="D591" s="129"/>
      <c r="E591" s="129"/>
      <c r="F591" s="129"/>
      <c r="G591" s="129"/>
      <c r="H591" s="129"/>
      <c r="I591" s="129"/>
      <c r="J591" s="129"/>
    </row>
    <row r="592" spans="1:10">
      <c r="A592" s="128"/>
      <c r="B592" s="129"/>
      <c r="C592" s="129"/>
      <c r="D592" s="129"/>
      <c r="E592" s="129"/>
      <c r="F592" s="129"/>
      <c r="G592" s="129"/>
      <c r="H592" s="129"/>
      <c r="I592" s="129"/>
      <c r="J592" s="129"/>
    </row>
    <row r="593" spans="1:10">
      <c r="A593" s="128"/>
      <c r="B593" s="129"/>
      <c r="C593" s="129"/>
      <c r="D593" s="129"/>
      <c r="E593" s="129"/>
      <c r="F593" s="129"/>
      <c r="G593" s="129"/>
      <c r="H593" s="129"/>
      <c r="I593" s="129"/>
      <c r="J593" s="129"/>
    </row>
    <row r="594" spans="1:10">
      <c r="A594" s="128"/>
      <c r="B594" s="129"/>
      <c r="C594" s="129"/>
      <c r="D594" s="129"/>
      <c r="E594" s="129"/>
      <c r="F594" s="129"/>
      <c r="G594" s="129"/>
      <c r="H594" s="129"/>
      <c r="I594" s="129"/>
      <c r="J594" s="129"/>
    </row>
    <row r="595" spans="1:10">
      <c r="A595" s="128"/>
      <c r="B595" s="129"/>
      <c r="C595" s="129"/>
      <c r="D595" s="129"/>
      <c r="E595" s="129"/>
      <c r="F595" s="129"/>
      <c r="G595" s="129"/>
      <c r="H595" s="129"/>
      <c r="I595" s="129"/>
      <c r="J595" s="129"/>
    </row>
    <row r="596" spans="1:10">
      <c r="A596" s="128"/>
      <c r="B596" s="129"/>
      <c r="C596" s="129"/>
      <c r="D596" s="129"/>
      <c r="E596" s="129"/>
      <c r="F596" s="129"/>
      <c r="G596" s="129"/>
      <c r="H596" s="129"/>
      <c r="I596" s="129"/>
      <c r="J596" s="129"/>
    </row>
    <row r="597" spans="1:10">
      <c r="A597" s="128"/>
      <c r="B597" s="129"/>
      <c r="C597" s="129"/>
      <c r="D597" s="129"/>
      <c r="E597" s="129"/>
      <c r="F597" s="129"/>
      <c r="G597" s="129"/>
      <c r="H597" s="129"/>
      <c r="I597" s="129"/>
      <c r="J597" s="129"/>
    </row>
    <row r="598" spans="1:10">
      <c r="A598" s="128"/>
      <c r="B598" s="129"/>
      <c r="C598" s="129"/>
      <c r="D598" s="129"/>
      <c r="E598" s="129"/>
      <c r="F598" s="129"/>
      <c r="G598" s="129"/>
      <c r="H598" s="129"/>
      <c r="I598" s="129"/>
      <c r="J598" s="129"/>
    </row>
    <row r="599" spans="1:10">
      <c r="A599" s="128"/>
      <c r="B599" s="129"/>
      <c r="C599" s="129"/>
      <c r="D599" s="129"/>
      <c r="E599" s="129"/>
      <c r="F599" s="129"/>
      <c r="G599" s="129"/>
      <c r="H599" s="129"/>
      <c r="I599" s="129"/>
      <c r="J599" s="129"/>
    </row>
    <row r="600" spans="1:10">
      <c r="A600" s="128"/>
      <c r="B600" s="129"/>
      <c r="C600" s="129"/>
      <c r="D600" s="129"/>
      <c r="E600" s="129"/>
      <c r="F600" s="129"/>
      <c r="G600" s="129"/>
      <c r="H600" s="129"/>
      <c r="I600" s="129"/>
      <c r="J600" s="129"/>
    </row>
    <row r="601" spans="1:10">
      <c r="A601" s="128"/>
      <c r="B601" s="129"/>
      <c r="C601" s="129"/>
      <c r="D601" s="129"/>
      <c r="E601" s="129"/>
      <c r="F601" s="129"/>
      <c r="G601" s="129"/>
      <c r="H601" s="129"/>
      <c r="I601" s="129"/>
      <c r="J601" s="129"/>
    </row>
    <row r="602" spans="1:10">
      <c r="A602" s="128"/>
      <c r="B602" s="129"/>
      <c r="C602" s="129"/>
      <c r="D602" s="129"/>
      <c r="E602" s="129"/>
      <c r="F602" s="129"/>
      <c r="G602" s="129"/>
      <c r="H602" s="129"/>
      <c r="I602" s="129"/>
      <c r="J602" s="129"/>
    </row>
    <row r="603" spans="1:10">
      <c r="A603" s="128"/>
      <c r="B603" s="129"/>
      <c r="C603" s="129"/>
      <c r="D603" s="129"/>
      <c r="E603" s="129"/>
      <c r="F603" s="129"/>
      <c r="G603" s="129"/>
      <c r="H603" s="129"/>
      <c r="I603" s="129"/>
      <c r="J603" s="129"/>
    </row>
    <row r="604" spans="1:10">
      <c r="A604" s="128"/>
      <c r="B604" s="129"/>
      <c r="C604" s="129"/>
      <c r="D604" s="129"/>
      <c r="E604" s="129"/>
      <c r="F604" s="129"/>
      <c r="G604" s="129"/>
      <c r="H604" s="129"/>
      <c r="I604" s="129"/>
      <c r="J604" s="129"/>
    </row>
    <row r="605" spans="1:10">
      <c r="A605" s="128"/>
      <c r="B605" s="129"/>
      <c r="C605" s="129"/>
      <c r="D605" s="129"/>
      <c r="E605" s="129"/>
      <c r="F605" s="129"/>
      <c r="G605" s="129"/>
      <c r="H605" s="129"/>
      <c r="I605" s="129"/>
      <c r="J605" s="129"/>
    </row>
    <row r="606" spans="1:10">
      <c r="A606" s="128"/>
      <c r="B606" s="129"/>
      <c r="C606" s="129"/>
      <c r="D606" s="129"/>
      <c r="E606" s="129"/>
      <c r="F606" s="129"/>
      <c r="G606" s="129"/>
      <c r="H606" s="129"/>
      <c r="I606" s="129"/>
      <c r="J606" s="129"/>
    </row>
    <row r="607" spans="1:10">
      <c r="A607" s="128"/>
      <c r="B607" s="129"/>
      <c r="C607" s="129"/>
      <c r="D607" s="129"/>
      <c r="E607" s="129"/>
      <c r="F607" s="129"/>
      <c r="G607" s="129"/>
      <c r="H607" s="129"/>
      <c r="I607" s="129"/>
      <c r="J607" s="129"/>
    </row>
    <row r="608" spans="1:10">
      <c r="A608" s="128"/>
      <c r="B608" s="129"/>
      <c r="C608" s="129"/>
      <c r="D608" s="129"/>
      <c r="E608" s="129"/>
      <c r="F608" s="129"/>
      <c r="G608" s="129"/>
      <c r="H608" s="129"/>
      <c r="I608" s="129"/>
      <c r="J608" s="129"/>
    </row>
    <row r="609" spans="1:10">
      <c r="A609" s="128"/>
      <c r="B609" s="129"/>
      <c r="C609" s="129"/>
      <c r="D609" s="129"/>
      <c r="E609" s="129"/>
      <c r="F609" s="129"/>
      <c r="G609" s="129"/>
      <c r="H609" s="129"/>
      <c r="I609" s="129"/>
      <c r="J609" s="129"/>
    </row>
    <row r="610" spans="1:10">
      <c r="A610" s="128"/>
      <c r="B610" s="129"/>
      <c r="C610" s="129"/>
      <c r="D610" s="129"/>
      <c r="E610" s="129"/>
      <c r="F610" s="129"/>
      <c r="G610" s="129"/>
      <c r="H610" s="129"/>
      <c r="I610" s="129"/>
      <c r="J610" s="129"/>
    </row>
    <row r="611" spans="1:10">
      <c r="A611" s="128"/>
      <c r="B611" s="129"/>
      <c r="C611" s="129"/>
      <c r="D611" s="129"/>
      <c r="E611" s="129"/>
      <c r="F611" s="129"/>
      <c r="G611" s="129"/>
      <c r="H611" s="129"/>
      <c r="I611" s="129"/>
      <c r="J611" s="129"/>
    </row>
    <row r="612" spans="1:10">
      <c r="A612" s="128"/>
      <c r="B612" s="129"/>
      <c r="C612" s="129"/>
      <c r="D612" s="129"/>
      <c r="E612" s="129"/>
      <c r="F612" s="129"/>
      <c r="G612" s="129"/>
      <c r="H612" s="129"/>
      <c r="I612" s="129"/>
      <c r="J612" s="129"/>
    </row>
    <row r="613" spans="1:10">
      <c r="A613" s="128"/>
      <c r="B613" s="129"/>
      <c r="C613" s="129"/>
      <c r="D613" s="129"/>
      <c r="E613" s="129"/>
      <c r="F613" s="129"/>
      <c r="G613" s="129"/>
      <c r="H613" s="129"/>
      <c r="I613" s="129"/>
      <c r="J613" s="129"/>
    </row>
    <row r="614" spans="1:10">
      <c r="A614" s="128"/>
      <c r="B614" s="129"/>
      <c r="C614" s="129"/>
      <c r="D614" s="129"/>
      <c r="E614" s="129"/>
      <c r="F614" s="129"/>
      <c r="G614" s="129"/>
      <c r="H614" s="129"/>
      <c r="I614" s="129"/>
      <c r="J614" s="129"/>
    </row>
    <row r="615" spans="1:10">
      <c r="A615" s="128"/>
      <c r="B615" s="129"/>
      <c r="C615" s="129"/>
      <c r="D615" s="129"/>
      <c r="E615" s="129"/>
      <c r="F615" s="129"/>
      <c r="G615" s="129"/>
      <c r="H615" s="129"/>
      <c r="I615" s="129"/>
      <c r="J615" s="129"/>
    </row>
    <row r="616" spans="1:10">
      <c r="A616" s="128"/>
      <c r="B616" s="129"/>
      <c r="C616" s="129"/>
      <c r="D616" s="129"/>
      <c r="E616" s="129"/>
      <c r="F616" s="129"/>
      <c r="G616" s="129"/>
      <c r="H616" s="129"/>
      <c r="I616" s="129"/>
      <c r="J616" s="129"/>
    </row>
    <row r="617" spans="1:10">
      <c r="A617" s="128"/>
      <c r="B617" s="129"/>
      <c r="C617" s="129"/>
      <c r="D617" s="129"/>
      <c r="E617" s="129"/>
      <c r="F617" s="129"/>
      <c r="G617" s="129"/>
      <c r="H617" s="129"/>
      <c r="I617" s="129"/>
      <c r="J617" s="129"/>
    </row>
    <row r="618" spans="1:10">
      <c r="A618" s="128"/>
      <c r="B618" s="129"/>
      <c r="C618" s="129"/>
      <c r="D618" s="129"/>
      <c r="E618" s="129"/>
      <c r="F618" s="129"/>
      <c r="G618" s="129"/>
      <c r="H618" s="129"/>
      <c r="I618" s="129"/>
      <c r="J618" s="129"/>
    </row>
    <row r="619" spans="1:10">
      <c r="A619" s="128"/>
      <c r="B619" s="129"/>
      <c r="C619" s="129"/>
      <c r="D619" s="129"/>
      <c r="E619" s="129"/>
      <c r="F619" s="129"/>
      <c r="G619" s="129"/>
      <c r="H619" s="129"/>
      <c r="I619" s="129"/>
      <c r="J619" s="129"/>
    </row>
    <row r="620" spans="1:10">
      <c r="A620" s="128"/>
      <c r="B620" s="129"/>
      <c r="C620" s="129"/>
      <c r="D620" s="129"/>
      <c r="E620" s="129"/>
      <c r="F620" s="129"/>
      <c r="G620" s="129"/>
      <c r="H620" s="129"/>
      <c r="I620" s="129"/>
      <c r="J620" s="129"/>
    </row>
    <row r="621" spans="1:10">
      <c r="A621" s="128"/>
      <c r="B621" s="129"/>
      <c r="C621" s="129"/>
      <c r="D621" s="129"/>
      <c r="E621" s="129"/>
      <c r="F621" s="129"/>
      <c r="G621" s="129"/>
      <c r="H621" s="129"/>
      <c r="I621" s="129"/>
      <c r="J621" s="129"/>
    </row>
    <row r="622" spans="1:10">
      <c r="A622" s="128"/>
      <c r="B622" s="129"/>
      <c r="C622" s="129"/>
      <c r="D622" s="129"/>
      <c r="E622" s="129"/>
      <c r="F622" s="129"/>
      <c r="G622" s="129"/>
      <c r="H622" s="129"/>
      <c r="I622" s="129"/>
      <c r="J622" s="129"/>
    </row>
    <row r="623" spans="1:10">
      <c r="A623" s="128"/>
      <c r="B623" s="129"/>
      <c r="C623" s="129"/>
      <c r="D623" s="129"/>
      <c r="E623" s="129"/>
      <c r="F623" s="129"/>
      <c r="G623" s="129"/>
      <c r="H623" s="129"/>
      <c r="I623" s="129"/>
      <c r="J623" s="129"/>
    </row>
    <row r="624" spans="1:10">
      <c r="A624" s="128"/>
      <c r="B624" s="129"/>
      <c r="C624" s="129"/>
      <c r="D624" s="129"/>
      <c r="E624" s="129"/>
      <c r="F624" s="129"/>
      <c r="G624" s="129"/>
      <c r="H624" s="129"/>
      <c r="I624" s="129"/>
      <c r="J624" s="129"/>
    </row>
    <row r="625" spans="1:10">
      <c r="A625" s="128"/>
      <c r="B625" s="129"/>
      <c r="C625" s="129"/>
      <c r="D625" s="129"/>
      <c r="E625" s="129"/>
      <c r="F625" s="129"/>
      <c r="G625" s="129"/>
      <c r="H625" s="129"/>
      <c r="I625" s="129"/>
      <c r="J625" s="129"/>
    </row>
    <row r="626" spans="1:10">
      <c r="A626" s="128"/>
      <c r="B626" s="129"/>
      <c r="C626" s="129"/>
      <c r="D626" s="129"/>
      <c r="E626" s="129"/>
      <c r="F626" s="129"/>
      <c r="G626" s="129"/>
      <c r="H626" s="129"/>
      <c r="I626" s="129"/>
      <c r="J626" s="129"/>
    </row>
    <row r="627" spans="1:10">
      <c r="A627" s="128"/>
      <c r="B627" s="129"/>
      <c r="C627" s="129"/>
      <c r="D627" s="129"/>
      <c r="E627" s="129"/>
      <c r="F627" s="129"/>
      <c r="G627" s="129"/>
      <c r="H627" s="129"/>
      <c r="I627" s="129"/>
      <c r="J627" s="129"/>
    </row>
    <row r="628" spans="1:10">
      <c r="A628" s="128"/>
      <c r="B628" s="129"/>
      <c r="C628" s="129"/>
      <c r="D628" s="129"/>
      <c r="E628" s="129"/>
      <c r="F628" s="129"/>
      <c r="G628" s="129"/>
      <c r="H628" s="129"/>
      <c r="I628" s="129"/>
      <c r="J628" s="129"/>
    </row>
    <row r="629" spans="1:10">
      <c r="A629" s="128"/>
      <c r="B629" s="129"/>
      <c r="C629" s="129"/>
      <c r="D629" s="129"/>
      <c r="E629" s="129"/>
      <c r="F629" s="129"/>
      <c r="G629" s="129"/>
      <c r="H629" s="129"/>
      <c r="I629" s="129"/>
      <c r="J629" s="129"/>
    </row>
    <row r="630" spans="1:10">
      <c r="A630" s="128"/>
      <c r="B630" s="129"/>
      <c r="C630" s="129"/>
      <c r="D630" s="129"/>
      <c r="E630" s="129"/>
      <c r="F630" s="129"/>
      <c r="G630" s="129"/>
      <c r="H630" s="129"/>
      <c r="I630" s="129"/>
      <c r="J630" s="129"/>
    </row>
    <row r="631" spans="1:10">
      <c r="A631" s="128"/>
      <c r="B631" s="129"/>
      <c r="C631" s="129"/>
      <c r="D631" s="129"/>
      <c r="E631" s="129"/>
      <c r="F631" s="129"/>
      <c r="G631" s="129"/>
      <c r="H631" s="129"/>
      <c r="I631" s="129"/>
      <c r="J631" s="129"/>
    </row>
    <row r="632" spans="1:10">
      <c r="A632" s="128"/>
      <c r="B632" s="129"/>
      <c r="C632" s="129"/>
      <c r="D632" s="129"/>
      <c r="E632" s="129"/>
      <c r="F632" s="129"/>
      <c r="G632" s="129"/>
      <c r="H632" s="129"/>
      <c r="I632" s="129"/>
      <c r="J632" s="129"/>
    </row>
    <row r="633" spans="1:10">
      <c r="A633" s="128"/>
      <c r="B633" s="129"/>
      <c r="C633" s="129"/>
      <c r="D633" s="129"/>
      <c r="E633" s="129"/>
      <c r="F633" s="129"/>
      <c r="G633" s="129"/>
      <c r="H633" s="129"/>
      <c r="I633" s="129"/>
      <c r="J633" s="129"/>
    </row>
    <row r="634" spans="1:10">
      <c r="A634" s="128"/>
      <c r="B634" s="129"/>
      <c r="C634" s="129"/>
      <c r="D634" s="129"/>
      <c r="E634" s="129"/>
      <c r="F634" s="129"/>
      <c r="G634" s="129"/>
      <c r="H634" s="129"/>
      <c r="I634" s="129"/>
      <c r="J634" s="129"/>
    </row>
    <row r="635" spans="1:10">
      <c r="A635" s="128"/>
      <c r="B635" s="129"/>
      <c r="C635" s="129"/>
      <c r="D635" s="129"/>
      <c r="E635" s="129"/>
      <c r="F635" s="129"/>
      <c r="G635" s="129"/>
      <c r="H635" s="129"/>
      <c r="I635" s="129"/>
      <c r="J635" s="129"/>
    </row>
    <row r="636" spans="1:10">
      <c r="A636" s="128"/>
      <c r="B636" s="129"/>
      <c r="C636" s="129"/>
      <c r="D636" s="129"/>
      <c r="E636" s="129"/>
      <c r="F636" s="129"/>
      <c r="G636" s="129"/>
      <c r="H636" s="129"/>
      <c r="I636" s="129"/>
      <c r="J636" s="129"/>
    </row>
    <row r="637" spans="1:10">
      <c r="A637" s="128"/>
      <c r="B637" s="129"/>
      <c r="C637" s="129"/>
      <c r="D637" s="129"/>
      <c r="E637" s="129"/>
      <c r="F637" s="129"/>
      <c r="G637" s="129"/>
      <c r="H637" s="129"/>
      <c r="I637" s="129"/>
      <c r="J637" s="129"/>
    </row>
    <row r="638" spans="1:10">
      <c r="A638" s="128"/>
      <c r="B638" s="129"/>
      <c r="C638" s="129"/>
      <c r="D638" s="129"/>
      <c r="E638" s="129"/>
      <c r="F638" s="129"/>
      <c r="G638" s="129"/>
      <c r="H638" s="129"/>
      <c r="I638" s="129"/>
      <c r="J638" s="129"/>
    </row>
    <row r="639" spans="1:10">
      <c r="A639" s="128"/>
      <c r="B639" s="129"/>
      <c r="C639" s="129"/>
      <c r="D639" s="129"/>
      <c r="E639" s="129"/>
      <c r="F639" s="129"/>
      <c r="G639" s="129"/>
      <c r="H639" s="129"/>
      <c r="I639" s="129"/>
      <c r="J639" s="129"/>
    </row>
    <row r="640" spans="1:10">
      <c r="A640" s="128"/>
      <c r="B640" s="129"/>
      <c r="C640" s="129"/>
      <c r="D640" s="129"/>
      <c r="E640" s="129"/>
      <c r="F640" s="129"/>
      <c r="G640" s="129"/>
      <c r="H640" s="129"/>
      <c r="I640" s="129"/>
      <c r="J640" s="129"/>
    </row>
    <row r="641" spans="1:10">
      <c r="A641" s="128"/>
      <c r="B641" s="129"/>
      <c r="C641" s="129"/>
      <c r="D641" s="129"/>
      <c r="E641" s="129"/>
      <c r="F641" s="129"/>
      <c r="G641" s="129"/>
      <c r="H641" s="129"/>
      <c r="I641" s="129"/>
      <c r="J641" s="129"/>
    </row>
    <row r="642" spans="1:10">
      <c r="A642" s="128"/>
      <c r="B642" s="129"/>
      <c r="C642" s="129"/>
      <c r="D642" s="129"/>
      <c r="E642" s="129"/>
      <c r="F642" s="129"/>
      <c r="G642" s="129"/>
      <c r="H642" s="129"/>
      <c r="I642" s="129"/>
      <c r="J642" s="129"/>
    </row>
    <row r="643" spans="1:10">
      <c r="A643" s="128"/>
      <c r="B643" s="129"/>
      <c r="C643" s="129"/>
      <c r="D643" s="129"/>
      <c r="E643" s="129"/>
      <c r="F643" s="129"/>
      <c r="G643" s="129"/>
      <c r="H643" s="129"/>
      <c r="I643" s="129"/>
      <c r="J643" s="129"/>
    </row>
    <row r="644" spans="1:10">
      <c r="A644" s="128"/>
      <c r="B644" s="129"/>
      <c r="C644" s="129"/>
      <c r="D644" s="129"/>
      <c r="E644" s="129"/>
      <c r="F644" s="129"/>
      <c r="G644" s="129"/>
      <c r="H644" s="129"/>
      <c r="I644" s="129"/>
      <c r="J644" s="129"/>
    </row>
    <row r="645" spans="1:10">
      <c r="A645" s="128"/>
      <c r="B645" s="129"/>
      <c r="C645" s="129"/>
      <c r="D645" s="129"/>
      <c r="E645" s="129"/>
      <c r="F645" s="129"/>
      <c r="G645" s="129"/>
      <c r="H645" s="129"/>
      <c r="I645" s="129"/>
      <c r="J645" s="129"/>
    </row>
    <row r="646" spans="1:10">
      <c r="A646" s="128"/>
      <c r="B646" s="129"/>
      <c r="C646" s="129"/>
      <c r="D646" s="129"/>
      <c r="E646" s="129"/>
      <c r="F646" s="129"/>
      <c r="G646" s="129"/>
      <c r="H646" s="129"/>
      <c r="I646" s="129"/>
      <c r="J646" s="129"/>
    </row>
    <row r="647" spans="1:10">
      <c r="A647" s="128"/>
      <c r="B647" s="129"/>
      <c r="C647" s="129"/>
      <c r="D647" s="129"/>
      <c r="E647" s="129"/>
      <c r="F647" s="129"/>
      <c r="G647" s="129"/>
      <c r="H647" s="129"/>
      <c r="I647" s="129"/>
      <c r="J647" s="129"/>
    </row>
    <row r="648" spans="1:10">
      <c r="A648" s="128"/>
      <c r="B648" s="129"/>
      <c r="C648" s="129"/>
      <c r="D648" s="129"/>
      <c r="E648" s="129"/>
      <c r="F648" s="129"/>
      <c r="G648" s="129"/>
      <c r="H648" s="129"/>
      <c r="I648" s="129"/>
      <c r="J648" s="129"/>
    </row>
    <row r="649" spans="1:10">
      <c r="A649" s="128"/>
      <c r="B649" s="129"/>
      <c r="C649" s="129"/>
      <c r="D649" s="129"/>
      <c r="E649" s="129"/>
      <c r="F649" s="129"/>
      <c r="G649" s="129"/>
      <c r="H649" s="129"/>
      <c r="I649" s="129"/>
      <c r="J649" s="129"/>
    </row>
    <row r="650" spans="1:10">
      <c r="A650" s="128"/>
      <c r="B650" s="129"/>
      <c r="C650" s="129"/>
      <c r="D650" s="129"/>
      <c r="E650" s="129"/>
      <c r="F650" s="129"/>
      <c r="G650" s="129"/>
      <c r="H650" s="129"/>
      <c r="I650" s="129"/>
      <c r="J650" s="129"/>
    </row>
    <row r="651" spans="1:10">
      <c r="A651" s="128"/>
      <c r="B651" s="129"/>
      <c r="C651" s="129"/>
      <c r="D651" s="129"/>
      <c r="E651" s="129"/>
      <c r="F651" s="129"/>
      <c r="G651" s="129"/>
      <c r="H651" s="129"/>
      <c r="I651" s="129"/>
      <c r="J651" s="129"/>
    </row>
    <row r="652" spans="1:10">
      <c r="A652" s="128"/>
      <c r="B652" s="129"/>
      <c r="C652" s="129"/>
      <c r="D652" s="129"/>
      <c r="E652" s="129"/>
      <c r="F652" s="129"/>
      <c r="G652" s="129"/>
      <c r="H652" s="129"/>
      <c r="I652" s="129"/>
      <c r="J652" s="129"/>
    </row>
    <row r="653" spans="1:10">
      <c r="A653" s="128"/>
      <c r="B653" s="129"/>
      <c r="C653" s="129"/>
      <c r="D653" s="129"/>
      <c r="E653" s="129"/>
      <c r="F653" s="129"/>
      <c r="G653" s="129"/>
      <c r="H653" s="129"/>
      <c r="I653" s="129"/>
      <c r="J653" s="129"/>
    </row>
    <row r="654" spans="1:10">
      <c r="A654" s="128"/>
      <c r="B654" s="129"/>
      <c r="C654" s="129"/>
      <c r="D654" s="129"/>
      <c r="E654" s="129"/>
      <c r="F654" s="129"/>
      <c r="G654" s="129"/>
      <c r="H654" s="129"/>
      <c r="I654" s="129"/>
      <c r="J654" s="129"/>
    </row>
    <row r="655" spans="1:10">
      <c r="A655" s="128"/>
      <c r="B655" s="129"/>
      <c r="C655" s="129"/>
      <c r="D655" s="129"/>
      <c r="E655" s="129"/>
      <c r="F655" s="129"/>
      <c r="G655" s="129"/>
      <c r="H655" s="129"/>
      <c r="I655" s="129"/>
      <c r="J655" s="129"/>
    </row>
    <row r="656" spans="1:10">
      <c r="A656" s="128"/>
      <c r="B656" s="129"/>
      <c r="C656" s="129"/>
      <c r="D656" s="129"/>
      <c r="E656" s="129"/>
      <c r="F656" s="129"/>
      <c r="G656" s="129"/>
      <c r="H656" s="129"/>
      <c r="I656" s="129"/>
      <c r="J656" s="129"/>
    </row>
    <row r="657" spans="1:10">
      <c r="A657" s="128"/>
      <c r="B657" s="129"/>
      <c r="C657" s="129"/>
      <c r="D657" s="129"/>
      <c r="E657" s="129"/>
      <c r="F657" s="129"/>
      <c r="G657" s="129"/>
      <c r="H657" s="129"/>
      <c r="I657" s="129"/>
      <c r="J657" s="129"/>
    </row>
    <row r="658" spans="1:10">
      <c r="A658" s="128"/>
      <c r="B658" s="129"/>
      <c r="C658" s="129"/>
      <c r="D658" s="129"/>
      <c r="E658" s="129"/>
      <c r="F658" s="129"/>
      <c r="G658" s="129"/>
      <c r="H658" s="129"/>
      <c r="I658" s="129"/>
      <c r="J658" s="129"/>
    </row>
    <row r="659" spans="1:10">
      <c r="A659" s="128"/>
      <c r="B659" s="129"/>
      <c r="C659" s="129"/>
      <c r="D659" s="129"/>
      <c r="E659" s="129"/>
      <c r="F659" s="129"/>
      <c r="G659" s="129"/>
      <c r="H659" s="129"/>
      <c r="I659" s="129"/>
      <c r="J659" s="129"/>
    </row>
    <row r="660" spans="1:10">
      <c r="A660" s="128"/>
      <c r="B660" s="129"/>
      <c r="C660" s="129"/>
      <c r="D660" s="129"/>
      <c r="E660" s="129"/>
      <c r="F660" s="129"/>
      <c r="G660" s="129"/>
      <c r="H660" s="129"/>
      <c r="I660" s="129"/>
      <c r="J660" s="129"/>
    </row>
    <row r="661" spans="1:10">
      <c r="A661" s="128"/>
      <c r="B661" s="129"/>
      <c r="C661" s="129"/>
      <c r="D661" s="129"/>
      <c r="E661" s="129"/>
      <c r="F661" s="129"/>
      <c r="G661" s="129"/>
      <c r="H661" s="129"/>
      <c r="I661" s="129"/>
      <c r="J661" s="129"/>
    </row>
    <row r="662" spans="1:10">
      <c r="A662" s="128"/>
      <c r="B662" s="129"/>
      <c r="C662" s="129"/>
      <c r="D662" s="129"/>
      <c r="E662" s="129"/>
      <c r="F662" s="129"/>
      <c r="G662" s="129"/>
      <c r="H662" s="129"/>
      <c r="I662" s="129"/>
      <c r="J662" s="129"/>
    </row>
    <row r="663" spans="1:10">
      <c r="A663" s="128"/>
      <c r="B663" s="129"/>
      <c r="C663" s="129"/>
      <c r="D663" s="129"/>
      <c r="E663" s="129"/>
      <c r="F663" s="129"/>
      <c r="G663" s="129"/>
      <c r="H663" s="129"/>
      <c r="I663" s="129"/>
      <c r="J663" s="129"/>
    </row>
    <row r="664" spans="1:10">
      <c r="A664" s="128"/>
      <c r="B664" s="129"/>
      <c r="C664" s="129"/>
      <c r="D664" s="129"/>
      <c r="E664" s="129"/>
      <c r="F664" s="129"/>
      <c r="G664" s="129"/>
      <c r="H664" s="129"/>
      <c r="I664" s="129"/>
      <c r="J664" s="129"/>
    </row>
    <row r="665" spans="1:10">
      <c r="A665" s="128"/>
      <c r="B665" s="129"/>
      <c r="C665" s="129"/>
      <c r="D665" s="129"/>
      <c r="E665" s="129"/>
      <c r="F665" s="129"/>
      <c r="G665" s="129"/>
      <c r="H665" s="129"/>
      <c r="I665" s="129"/>
      <c r="J665" s="129"/>
    </row>
    <row r="666" spans="1:10">
      <c r="A666" s="128"/>
      <c r="B666" s="129"/>
      <c r="C666" s="129"/>
      <c r="D666" s="129"/>
      <c r="E666" s="129"/>
      <c r="F666" s="129"/>
      <c r="G666" s="129"/>
      <c r="H666" s="129"/>
      <c r="I666" s="129"/>
      <c r="J666" s="129"/>
    </row>
    <row r="667" spans="1:10">
      <c r="A667" s="128"/>
      <c r="B667" s="129"/>
      <c r="C667" s="129"/>
      <c r="D667" s="129"/>
      <c r="E667" s="129"/>
      <c r="F667" s="129"/>
      <c r="G667" s="129"/>
      <c r="H667" s="129"/>
      <c r="I667" s="129"/>
      <c r="J667" s="129"/>
    </row>
    <row r="668" spans="1:10">
      <c r="A668" s="128"/>
      <c r="B668" s="129"/>
      <c r="C668" s="129"/>
      <c r="D668" s="129"/>
      <c r="E668" s="129"/>
      <c r="F668" s="129"/>
      <c r="G668" s="129"/>
      <c r="H668" s="129"/>
      <c r="I668" s="129"/>
      <c r="J668" s="129"/>
    </row>
  </sheetData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 filterMode="1"/>
  <dimension ref="A1:AY65503"/>
  <sheetViews>
    <sheetView zoomScale="80" workbookViewId="0">
      <pane xSplit="2" topLeftCell="C1" activePane="topRight" state="frozenSplit"/>
      <selection activeCell="A6" sqref="A6"/>
      <selection pane="topRight" activeCell="G51" sqref="G51"/>
    </sheetView>
  </sheetViews>
  <sheetFormatPr baseColWidth="10" defaultColWidth="8.83203125" defaultRowHeight="13"/>
  <cols>
    <col min="1" max="1" width="2" hidden="1" customWidth="1"/>
    <col min="2" max="2" width="43.6640625" customWidth="1"/>
    <col min="3" max="3" width="2" customWidth="1"/>
    <col min="4" max="4" width="14.33203125" customWidth="1"/>
    <col min="5" max="5" width="1" customWidth="1"/>
    <col min="6" max="6" width="14.5" customWidth="1"/>
    <col min="7" max="7" width="1.5" customWidth="1"/>
    <col min="8" max="8" width="14.5" bestFit="1" customWidth="1"/>
    <col min="9" max="9" width="1.5" customWidth="1"/>
    <col min="10" max="10" width="14.5" customWidth="1"/>
    <col min="11" max="11" width="1.5" customWidth="1"/>
    <col min="12" max="12" width="14.5" customWidth="1"/>
    <col min="13" max="13" width="2.6640625" customWidth="1"/>
    <col min="14" max="14" width="11.5" bestFit="1" customWidth="1"/>
    <col min="15" max="15" width="10.1640625" customWidth="1"/>
  </cols>
  <sheetData>
    <row r="1" spans="1:51">
      <c r="A1" s="61"/>
    </row>
    <row r="2" spans="1:51" ht="20.25" customHeight="1">
      <c r="A2" s="61">
        <v>1</v>
      </c>
      <c r="B2" s="130" t="s">
        <v>0</v>
      </c>
      <c r="D2" s="119" t="s">
        <v>1</v>
      </c>
      <c r="E2" s="30"/>
      <c r="F2" s="119" t="s">
        <v>2</v>
      </c>
      <c r="G2" s="30"/>
      <c r="H2" s="120" t="s">
        <v>3</v>
      </c>
      <c r="I2" s="30"/>
      <c r="J2" s="121" t="s">
        <v>4</v>
      </c>
      <c r="K2" s="30"/>
      <c r="L2" s="121" t="s">
        <v>5</v>
      </c>
      <c r="M2" s="30"/>
      <c r="N2" s="130" t="s">
        <v>6</v>
      </c>
      <c r="O2" s="132"/>
    </row>
    <row r="3" spans="1:51" ht="23.25" customHeight="1">
      <c r="A3" s="61">
        <v>1</v>
      </c>
      <c r="B3" s="131"/>
      <c r="H3" s="28"/>
      <c r="N3" s="24"/>
    </row>
    <row r="4" spans="1:51" ht="18" customHeight="1">
      <c r="A4" s="61">
        <v>1</v>
      </c>
      <c r="B4" s="24"/>
      <c r="D4" s="63" t="s">
        <v>7</v>
      </c>
      <c r="E4" s="61"/>
      <c r="F4" s="63" t="s">
        <v>8</v>
      </c>
      <c r="G4" s="61"/>
      <c r="H4" s="63" t="s">
        <v>8</v>
      </c>
      <c r="I4" s="61"/>
      <c r="J4" s="63" t="s">
        <v>8</v>
      </c>
      <c r="K4" s="61"/>
      <c r="L4" s="63" t="s">
        <v>8</v>
      </c>
      <c r="N4" s="29" t="s">
        <v>9</v>
      </c>
      <c r="O4" s="29" t="s">
        <v>10</v>
      </c>
      <c r="AY4" s="61"/>
    </row>
    <row r="5" spans="1:51" ht="18" customHeight="1">
      <c r="A5" s="61">
        <f t="shared" ref="A5:A15" si="0">+IF(B5="",0,1)</f>
        <v>0</v>
      </c>
      <c r="B5" s="71" t="str">
        <f>+IF(Elaborazione!$B$1="","",Elaborazione!$B$1)</f>
        <v/>
      </c>
      <c r="D5" s="118" t="str">
        <f>IF(B5="","",0.069)</f>
        <v/>
      </c>
      <c r="E5" s="31"/>
      <c r="F5" s="31"/>
      <c r="G5" s="31"/>
      <c r="H5" s="31"/>
      <c r="I5" s="31"/>
      <c r="J5" s="54"/>
      <c r="K5" s="31"/>
      <c r="L5" s="32"/>
      <c r="N5" s="116">
        <v>0</v>
      </c>
      <c r="O5" s="117">
        <v>1</v>
      </c>
      <c r="AY5" s="61">
        <v>2.6087712267647439E-3</v>
      </c>
    </row>
    <row r="6" spans="1:51" ht="18" customHeight="1">
      <c r="A6" s="61">
        <f t="shared" si="0"/>
        <v>0</v>
      </c>
      <c r="B6" s="72" t="str">
        <f>+IF(Elaborazione!$C$1="","",Elaborazione!$C$1)</f>
        <v/>
      </c>
      <c r="D6" s="118" t="str">
        <f>IF(B6="","",0.049)</f>
        <v/>
      </c>
      <c r="E6" s="31"/>
      <c r="F6" s="31"/>
      <c r="G6" s="31"/>
      <c r="H6" s="31"/>
      <c r="I6" s="31"/>
      <c r="J6" s="54"/>
      <c r="K6" s="31"/>
      <c r="L6" s="32"/>
      <c r="N6" s="116">
        <v>0</v>
      </c>
      <c r="O6" s="117">
        <v>1</v>
      </c>
      <c r="AY6" s="61">
        <v>6.428025823639942E-4</v>
      </c>
    </row>
    <row r="7" spans="1:51" ht="18" customHeight="1">
      <c r="A7" s="61">
        <f t="shared" si="0"/>
        <v>0</v>
      </c>
      <c r="B7" s="71" t="str">
        <f>+IF(Elaborazione!$D$1="","",Elaborazione!D$1)</f>
        <v/>
      </c>
      <c r="D7" s="118" t="str">
        <f>IF(B7="","",0.069)</f>
        <v/>
      </c>
      <c r="E7" s="31"/>
      <c r="F7" s="31"/>
      <c r="G7" s="31"/>
      <c r="H7" s="31"/>
      <c r="I7" s="31"/>
      <c r="J7" s="54"/>
      <c r="K7" s="31"/>
      <c r="L7" s="32"/>
      <c r="N7" s="116">
        <v>0</v>
      </c>
      <c r="O7" s="117">
        <v>0.8</v>
      </c>
      <c r="AY7" s="61">
        <v>3.3523861132197189E-3</v>
      </c>
    </row>
    <row r="8" spans="1:51" ht="18" customHeight="1">
      <c r="A8" s="61">
        <f t="shared" si="0"/>
        <v>0</v>
      </c>
      <c r="B8" s="72" t="str">
        <f>+IF(Elaborazione!$E$1="","",Elaborazione!$E$1)</f>
        <v/>
      </c>
      <c r="D8" s="118" t="str">
        <f>IF(B8="","",0.069)</f>
        <v/>
      </c>
      <c r="E8" s="31"/>
      <c r="F8" s="31"/>
      <c r="G8" s="31"/>
      <c r="H8" s="31"/>
      <c r="I8" s="31"/>
      <c r="J8" s="54"/>
      <c r="K8" s="31"/>
      <c r="L8" s="32"/>
      <c r="N8" s="116">
        <v>0</v>
      </c>
      <c r="O8" s="117">
        <v>0.8</v>
      </c>
      <c r="AY8" s="61">
        <v>2.0682279517823029E-3</v>
      </c>
    </row>
    <row r="9" spans="1:51" ht="18" customHeight="1">
      <c r="A9" s="61">
        <f t="shared" si="0"/>
        <v>0</v>
      </c>
      <c r="B9" s="71" t="str">
        <f>+IF(Elaborazione!$F$1="","",Elaborazione!$F$1)</f>
        <v/>
      </c>
      <c r="D9" s="118" t="str">
        <f>IF(B9="","",0.032)</f>
        <v/>
      </c>
      <c r="E9" s="31"/>
      <c r="F9" s="31"/>
      <c r="G9" s="31"/>
      <c r="H9" s="31"/>
      <c r="I9" s="31"/>
      <c r="J9" s="54"/>
      <c r="K9" s="31"/>
      <c r="L9" s="32"/>
      <c r="N9" s="116">
        <v>0</v>
      </c>
      <c r="O9" s="117">
        <v>0.1</v>
      </c>
      <c r="AY9" s="61">
        <v>1.499235030748151E-3</v>
      </c>
    </row>
    <row r="10" spans="1:51" ht="18" customHeight="1">
      <c r="A10" s="61">
        <f t="shared" si="0"/>
        <v>0</v>
      </c>
      <c r="B10" s="72" t="str">
        <f>+IF(Elaborazione!$G$1="","",Elaborazione!$G$1)</f>
        <v/>
      </c>
      <c r="D10" s="118" t="str">
        <f>IF(B10="","",0.032)</f>
        <v/>
      </c>
      <c r="E10" s="31"/>
      <c r="F10" s="31"/>
      <c r="G10" s="31"/>
      <c r="H10" s="31"/>
      <c r="J10" s="54"/>
      <c r="K10" s="31"/>
      <c r="L10" s="32"/>
      <c r="N10" s="116">
        <v>0</v>
      </c>
      <c r="O10" s="117">
        <v>0.1</v>
      </c>
      <c r="AY10" s="61">
        <v>2.7264939000821542E-3</v>
      </c>
    </row>
    <row r="11" spans="1:51" ht="18" customHeight="1">
      <c r="A11" s="61">
        <f t="shared" si="0"/>
        <v>0</v>
      </c>
      <c r="B11" s="71" t="str">
        <f>+IF(Elaborazione!$H$1="","",Elaborazione!$H$1)</f>
        <v/>
      </c>
      <c r="D11" s="118" t="str">
        <f>IF(B11="","",0.033)</f>
        <v/>
      </c>
      <c r="E11" s="31"/>
      <c r="F11" s="31"/>
      <c r="G11" s="31"/>
      <c r="H11" s="31"/>
      <c r="J11" s="54"/>
      <c r="K11" s="31"/>
      <c r="L11" s="32"/>
      <c r="N11" s="116">
        <v>0</v>
      </c>
      <c r="O11" s="117">
        <v>0.6</v>
      </c>
      <c r="AY11" s="61">
        <v>4.2029324279380057E-3</v>
      </c>
    </row>
    <row r="12" spans="1:51" ht="18" customHeight="1">
      <c r="A12" s="61">
        <f t="shared" si="0"/>
        <v>0</v>
      </c>
      <c r="B12" s="72" t="str">
        <f>+IF(Elaborazione!$I$1="","",Elaborazione!$I$1)</f>
        <v/>
      </c>
      <c r="D12" s="118" t="str">
        <f>IF(B12="","",0.02)</f>
        <v/>
      </c>
      <c r="E12" s="31"/>
      <c r="F12" s="31"/>
      <c r="G12" s="31"/>
      <c r="H12" s="31"/>
      <c r="J12" s="54"/>
      <c r="K12" s="31"/>
      <c r="L12" s="32"/>
      <c r="N12" s="116">
        <v>0</v>
      </c>
      <c r="O12" s="117">
        <v>0.6</v>
      </c>
      <c r="AY12" s="61">
        <v>1.8553461175333181E-3</v>
      </c>
    </row>
    <row r="13" spans="1:51" ht="18" customHeight="1">
      <c r="A13" s="61">
        <f t="shared" si="0"/>
        <v>0</v>
      </c>
      <c r="B13" s="71" t="str">
        <f>+IF(Elaborazione!$J$1="","",Elaborazione!$J$1)</f>
        <v/>
      </c>
      <c r="D13" s="118" t="str">
        <f>IF(B13="","",0.02)</f>
        <v/>
      </c>
      <c r="E13" s="31"/>
      <c r="F13" s="31"/>
      <c r="G13" s="31"/>
      <c r="H13" s="31"/>
      <c r="J13" s="54"/>
      <c r="K13" s="31"/>
      <c r="L13" s="32"/>
      <c r="N13" s="116">
        <v>0</v>
      </c>
      <c r="O13" s="117">
        <v>0.6</v>
      </c>
      <c r="AY13" s="61">
        <v>1.125465542965376E-3</v>
      </c>
    </row>
    <row r="14" spans="1:51" ht="18" customHeight="1">
      <c r="A14" s="61">
        <f t="shared" si="0"/>
        <v>0</v>
      </c>
      <c r="B14" s="72" t="str">
        <f>+IF(Elaborazione!$K$1="","",Elaborazione!$K$1)</f>
        <v/>
      </c>
      <c r="D14" s="118"/>
      <c r="E14" s="31"/>
      <c r="F14" s="31"/>
      <c r="G14" s="31"/>
      <c r="H14" s="31"/>
      <c r="J14" s="54"/>
      <c r="K14" s="31"/>
      <c r="L14" s="32"/>
      <c r="N14" s="116"/>
      <c r="O14" s="117"/>
      <c r="AY14" s="61">
        <v>-2.2932622246248601E-4</v>
      </c>
    </row>
    <row r="15" spans="1:51" ht="18" customHeight="1">
      <c r="A15" s="61">
        <f t="shared" si="0"/>
        <v>0</v>
      </c>
      <c r="B15" s="71" t="str">
        <f>+IF(Elaborazione!$L$1="","",Elaborazione!$L$1)</f>
        <v/>
      </c>
      <c r="D15" s="118"/>
      <c r="E15" s="31"/>
      <c r="F15" s="31"/>
      <c r="G15" s="31"/>
      <c r="H15" s="31"/>
      <c r="J15" s="54"/>
      <c r="K15" s="31"/>
      <c r="L15" s="32"/>
      <c r="N15" s="116"/>
      <c r="O15" s="117"/>
      <c r="AY15" s="61">
        <v>4.1401470021687203E-3</v>
      </c>
    </row>
    <row r="16" spans="1:51" ht="18" customHeight="1">
      <c r="A16" s="61"/>
      <c r="B16" s="72" t="str">
        <f>+IF(Elaborazione!$M$1="","",Elaborazione!$M$1)</f>
        <v/>
      </c>
      <c r="D16" s="118"/>
      <c r="E16" s="31"/>
      <c r="F16" s="31"/>
      <c r="G16" s="31"/>
      <c r="H16" s="31"/>
      <c r="J16" s="54"/>
      <c r="K16" s="31"/>
      <c r="L16" s="32"/>
      <c r="N16" s="116"/>
      <c r="O16" s="117"/>
      <c r="AY16" s="61"/>
    </row>
    <row r="17" spans="1:51" ht="18" customHeight="1">
      <c r="A17" s="61">
        <f t="shared" ref="A17:A31" si="1">+IF(B17="",0,1)</f>
        <v>0</v>
      </c>
      <c r="B17" s="71" t="str">
        <f>+IF(Elaborazione!$N$1="","",Elaborazione!$N$1)</f>
        <v/>
      </c>
      <c r="D17" s="118"/>
      <c r="E17" s="31"/>
      <c r="F17" s="31"/>
      <c r="G17" s="31"/>
      <c r="H17" s="31" t="str">
        <f>+IF(AY17="","",(1+AY17)^#REF!-1)</f>
        <v/>
      </c>
      <c r="J17" s="54"/>
      <c r="K17" s="31"/>
      <c r="L17" s="32"/>
      <c r="N17" s="116"/>
      <c r="O17" s="117"/>
      <c r="AY17" s="61"/>
    </row>
    <row r="18" spans="1:51" ht="18" customHeight="1">
      <c r="A18" s="61">
        <f t="shared" si="1"/>
        <v>0</v>
      </c>
      <c r="B18" s="72" t="str">
        <f>+IF(Elaborazione!$O$1="","",Elaborazione!$O$1)</f>
        <v/>
      </c>
      <c r="D18" s="118"/>
      <c r="E18" s="31"/>
      <c r="F18" s="31"/>
      <c r="G18" s="31"/>
      <c r="H18" s="31" t="str">
        <f>+IF(AY18="","",(1+AY18)^#REF!-1)</f>
        <v/>
      </c>
      <c r="J18" s="54"/>
      <c r="K18" s="31"/>
      <c r="L18" s="32"/>
      <c r="N18" s="116"/>
      <c r="O18" s="117"/>
      <c r="AY18" s="61"/>
    </row>
    <row r="19" spans="1:51" ht="18" customHeight="1">
      <c r="A19" s="61">
        <f t="shared" si="1"/>
        <v>0</v>
      </c>
      <c r="B19" s="71" t="str">
        <f>+IF(Elaborazione!$P$1="","",Elaborazione!$P$1)</f>
        <v/>
      </c>
      <c r="D19" s="118"/>
      <c r="E19" s="31"/>
      <c r="F19" s="31"/>
      <c r="G19" s="31"/>
      <c r="H19" s="31" t="str">
        <f>+IF(AY19="","",(1+AY19)^#REF!-1)</f>
        <v/>
      </c>
      <c r="J19" s="54"/>
      <c r="K19" s="31"/>
      <c r="L19" s="32"/>
      <c r="N19" s="116"/>
      <c r="O19" s="117"/>
      <c r="AY19" s="61"/>
    </row>
    <row r="20" spans="1:51" ht="15.75" customHeight="1">
      <c r="A20" s="61">
        <f t="shared" si="1"/>
        <v>0</v>
      </c>
      <c r="B20" s="72" t="str">
        <f>+IF(Elaborazione!$Q$1="","",Elaborazione!$Q$1)</f>
        <v/>
      </c>
      <c r="D20" s="118"/>
      <c r="E20" s="31"/>
      <c r="F20" s="31"/>
      <c r="G20" s="31"/>
      <c r="H20" s="31" t="str">
        <f>+IF(AY20="","",(1+AY20)^#REF!-1)</f>
        <v/>
      </c>
      <c r="J20" s="54"/>
      <c r="K20" s="31"/>
      <c r="L20" s="32"/>
      <c r="N20" s="116"/>
      <c r="O20" s="117"/>
      <c r="AY20" s="61"/>
    </row>
    <row r="21" spans="1:51" ht="14.25" customHeight="1">
      <c r="A21" s="61">
        <f t="shared" si="1"/>
        <v>0</v>
      </c>
      <c r="B21" s="71" t="str">
        <f>+IF(Elaborazione!$R$1="","",Elaborazione!$R$1)</f>
        <v/>
      </c>
      <c r="D21" s="118"/>
      <c r="E21" s="31"/>
      <c r="F21" s="31"/>
      <c r="G21" s="31"/>
      <c r="H21" s="31" t="str">
        <f>+IF(AY21="","",(1+AY21)^#REF!-1)</f>
        <v/>
      </c>
      <c r="J21" s="54"/>
      <c r="K21" s="31"/>
      <c r="L21" s="32"/>
      <c r="N21" s="116"/>
      <c r="O21" s="117"/>
      <c r="AY21" s="61"/>
    </row>
    <row r="22" spans="1:51" ht="17.25" customHeight="1">
      <c r="A22" s="61">
        <f t="shared" si="1"/>
        <v>0</v>
      </c>
      <c r="B22" s="72" t="str">
        <f>+IF(Elaborazione!$S$1="","",Elaborazione!$S$1)</f>
        <v/>
      </c>
      <c r="D22" s="118"/>
      <c r="E22" s="31"/>
      <c r="F22" s="31"/>
      <c r="G22" s="31"/>
      <c r="H22" s="31" t="str">
        <f>+IF(AY22="","",(1+AY22)^#REF!-1)</f>
        <v/>
      </c>
      <c r="J22" s="54"/>
      <c r="K22" s="31"/>
      <c r="L22" s="32"/>
      <c r="N22" s="116"/>
      <c r="O22" s="117"/>
      <c r="AY22" s="61"/>
    </row>
    <row r="23" spans="1:51" ht="15.75" hidden="1" customHeight="1">
      <c r="A23" s="61">
        <f t="shared" si="1"/>
        <v>0</v>
      </c>
      <c r="B23" s="26" t="str">
        <f>+IF(Elaborazione!$T$1="","",Elaborazione!$T$1)</f>
        <v/>
      </c>
      <c r="D23" s="54"/>
      <c r="E23" s="31"/>
      <c r="F23" s="31" t="str">
        <f>+IF(B23="","",IF(ISERROR(VLOOKUP(B23,'[3]Rendimenti Attesi'!$B$3:$C$44,2,FALSE()))=TRUE,"nullo",VLOOKUP(B23,'[3]Rendimenti Attesi'!$B$3:$C$44,2,FALSE())))</f>
        <v/>
      </c>
      <c r="G23" s="31"/>
      <c r="H23" s="31" t="str">
        <f>+IF(AY23="","",(1+AY23)^#REF!-1)</f>
        <v/>
      </c>
      <c r="J23" s="54"/>
      <c r="K23" s="31"/>
      <c r="L23" s="32" t="str">
        <f>IF(B23="","",EXP(AVERAGE(Elaborazione!T2:T2958)*#REF!)-1)</f>
        <v/>
      </c>
      <c r="N23" s="57">
        <v>0</v>
      </c>
      <c r="O23" s="58">
        <v>1</v>
      </c>
      <c r="AY23" s="61"/>
    </row>
    <row r="24" spans="1:51" ht="15.75" hidden="1" customHeight="1">
      <c r="A24" s="61">
        <f t="shared" si="1"/>
        <v>0</v>
      </c>
      <c r="B24" s="25" t="str">
        <f>+IF(Elaborazione!$U$1="","",Elaborazione!$U$1)</f>
        <v/>
      </c>
      <c r="D24" s="54"/>
      <c r="E24" s="31"/>
      <c r="F24" s="31" t="str">
        <f>+IF(B24="","",IF(ISERROR(VLOOKUP(B24,'[3]Rendimenti Attesi'!$B$3:$C$44,2,FALSE()))=TRUE,"nullo",VLOOKUP(B24,'[3]Rendimenti Attesi'!$B$3:$C$44,2,FALSE())))</f>
        <v/>
      </c>
      <c r="G24" s="31"/>
      <c r="H24" s="31" t="str">
        <f>+IF(AY24="","",(1+AY24)^#REF!-1)</f>
        <v/>
      </c>
      <c r="J24" s="54"/>
      <c r="K24" s="31"/>
      <c r="L24" s="32" t="str">
        <f>IF(B24="","",EXP(AVERAGE(Elaborazione!U2:U2958)*#REF!)-1)</f>
        <v/>
      </c>
      <c r="N24" s="57">
        <v>0</v>
      </c>
      <c r="O24" s="58">
        <v>1</v>
      </c>
      <c r="AY24" s="61"/>
    </row>
    <row r="25" spans="1:51" ht="17.25" hidden="1" customHeight="1">
      <c r="A25" s="61">
        <f t="shared" si="1"/>
        <v>0</v>
      </c>
      <c r="B25" s="26" t="str">
        <f>+IF(Elaborazione!$V$1="","",Elaborazione!$V$1)</f>
        <v/>
      </c>
      <c r="D25" s="54"/>
      <c r="E25" s="31"/>
      <c r="F25" s="31" t="str">
        <f>+IF(B25="","",IF(ISERROR(VLOOKUP(B25,'[3]Rendimenti Attesi'!$B$3:$C$44,2,FALSE()))=TRUE,"nullo",VLOOKUP(B25,'[3]Rendimenti Attesi'!$B$3:$C$44,2,FALSE())))</f>
        <v/>
      </c>
      <c r="G25" s="31"/>
      <c r="H25" s="31" t="str">
        <f>+IF(AY25="","",(1+AY25)^#REF!-1)</f>
        <v/>
      </c>
      <c r="J25" s="54"/>
      <c r="K25" s="31"/>
      <c r="L25" s="32" t="str">
        <f>IF(B25="","",EXP(AVERAGE(Elaborazione!V2:V2958)*#REF!)-1)</f>
        <v/>
      </c>
      <c r="N25" s="57">
        <v>0</v>
      </c>
      <c r="O25" s="58">
        <v>1</v>
      </c>
      <c r="AY25" s="61"/>
    </row>
    <row r="26" spans="1:51" ht="15.75" hidden="1" customHeight="1">
      <c r="A26" s="61">
        <f t="shared" si="1"/>
        <v>0</v>
      </c>
      <c r="B26" s="25" t="str">
        <f>+IF(Elaborazione!$W$1="","",Elaborazione!$W$1)</f>
        <v/>
      </c>
      <c r="D26" s="54"/>
      <c r="E26" s="31"/>
      <c r="F26" s="31" t="str">
        <f>+IF(B26="","",IF(ISERROR(VLOOKUP(B26,'[3]Rendimenti Attesi'!$B$3:$C$44,2,FALSE()))=TRUE,"nullo",VLOOKUP(B26,'[3]Rendimenti Attesi'!$B$3:$C$44,2,FALSE())))</f>
        <v/>
      </c>
      <c r="G26" s="31"/>
      <c r="H26" s="31" t="str">
        <f>+IF(AY26="","",(1+AY26)^#REF!-1)</f>
        <v/>
      </c>
      <c r="J26" s="54"/>
      <c r="K26" s="31"/>
      <c r="L26" s="32" t="str">
        <f>IF(B26="","",EXP(AVERAGE(Elaborazione!W2:W2958)*#REF!)-1)</f>
        <v/>
      </c>
      <c r="N26" s="57">
        <v>0</v>
      </c>
      <c r="O26" s="58">
        <v>1</v>
      </c>
      <c r="AY26" s="61"/>
    </row>
    <row r="27" spans="1:51" ht="9.75" hidden="1" customHeight="1">
      <c r="A27" s="61">
        <f t="shared" si="1"/>
        <v>0</v>
      </c>
      <c r="B27" s="26" t="str">
        <f>+IF(Elaborazione!$X$1="","",Elaborazione!$X$1)</f>
        <v/>
      </c>
      <c r="D27" s="54"/>
      <c r="E27" s="31"/>
      <c r="F27" s="31" t="str">
        <f>+IF(B27="","",IF(ISERROR(VLOOKUP(B27,'[3]Rendimenti Attesi'!$B$3:$C$44,2,FALSE()))=TRUE,"nullo",VLOOKUP(B27,'[3]Rendimenti Attesi'!$B$3:$C$44,2,FALSE())))</f>
        <v/>
      </c>
      <c r="G27" s="31"/>
      <c r="H27" s="31" t="str">
        <f>+IF(AY27="","",(1+AY27)^#REF!-1)</f>
        <v/>
      </c>
      <c r="J27" s="54"/>
      <c r="K27" s="31"/>
      <c r="L27" s="32" t="str">
        <f>IF(B27="","",EXP(AVERAGE(Elaborazione!X2:X2958)*#REF!)-1)</f>
        <v/>
      </c>
      <c r="N27" s="57">
        <v>0</v>
      </c>
      <c r="O27" s="58">
        <v>1</v>
      </c>
      <c r="AY27" s="61"/>
    </row>
    <row r="28" spans="1:51" ht="8.25" hidden="1" customHeight="1">
      <c r="A28" s="61">
        <f t="shared" si="1"/>
        <v>0</v>
      </c>
      <c r="B28" s="25" t="str">
        <f>+IF(Elaborazione!$Y$1="","",Elaborazione!$Y$1)</f>
        <v/>
      </c>
      <c r="D28" s="54"/>
      <c r="E28" s="31"/>
      <c r="F28" s="31" t="str">
        <f>+IF(B28="","",IF(ISERROR(VLOOKUP(B28,'[3]Rendimenti Attesi'!$B$3:$C$44,2,FALSE()))=TRUE,"nullo",VLOOKUP(B28,'[3]Rendimenti Attesi'!$B$3:$C$44,2,FALSE())))</f>
        <v/>
      </c>
      <c r="G28" s="31"/>
      <c r="H28" s="31" t="str">
        <f>+IF(AY28="","",(1+AY28)^#REF!-1)</f>
        <v/>
      </c>
      <c r="J28" s="54"/>
      <c r="K28" s="31"/>
      <c r="L28" s="32" t="str">
        <f>IF(B28="","",EXP(AVERAGE(Elaborazione!Y2:Y2958)*#REF!)-1)</f>
        <v/>
      </c>
      <c r="N28" s="57">
        <v>0</v>
      </c>
      <c r="O28" s="58">
        <v>1</v>
      </c>
      <c r="AY28" s="61"/>
    </row>
    <row r="29" spans="1:51" ht="18.75" hidden="1" customHeight="1">
      <c r="A29" s="61">
        <f t="shared" si="1"/>
        <v>0</v>
      </c>
      <c r="B29" s="26" t="str">
        <f>+IF(Elaborazione!$Z$1="","",Elaborazione!$Z$1)</f>
        <v/>
      </c>
      <c r="D29" s="54"/>
      <c r="E29" s="31"/>
      <c r="F29" s="31" t="str">
        <f>+IF(B29="","",IF(ISERROR(VLOOKUP(B29,'[3]Rendimenti Attesi'!$B$3:$C$44,2,FALSE()))=TRUE,"nullo",VLOOKUP(B29,'[3]Rendimenti Attesi'!$B$3:$C$44,2,FALSE())))</f>
        <v/>
      </c>
      <c r="G29" s="31"/>
      <c r="H29" s="31" t="str">
        <f>+IF(AY29="","",(1+AY29)^#REF!-1)</f>
        <v/>
      </c>
      <c r="J29" s="54"/>
      <c r="K29" s="31"/>
      <c r="L29" s="32" t="str">
        <f>IF(B29="","",EXP(AVERAGE(Elaborazione!Z2:Z2958)*#REF!)-1)</f>
        <v/>
      </c>
      <c r="N29" s="57">
        <v>0</v>
      </c>
      <c r="O29" s="58">
        <v>1</v>
      </c>
      <c r="AY29" s="61"/>
    </row>
    <row r="30" spans="1:51" ht="13.5" hidden="1" customHeight="1">
      <c r="A30" s="61">
        <f t="shared" si="1"/>
        <v>0</v>
      </c>
      <c r="B30" s="25" t="str">
        <f>+IF(Elaborazione!$AA$1="","",Elaborazione!$AA$1)</f>
        <v/>
      </c>
      <c r="D30" s="55"/>
      <c r="E30" s="33"/>
      <c r="F30" s="31" t="str">
        <f>+IF(B30="","",IF(ISERROR(VLOOKUP(B30,'[3]Rendimenti Attesi'!$B$3:$C$44,2,FALSE()))=TRUE,"nullo",VLOOKUP(B30,'[3]Rendimenti Attesi'!$B$3:$C$44,2,FALSE())))</f>
        <v/>
      </c>
      <c r="G30" s="33"/>
      <c r="H30" s="33" t="str">
        <f>+IF(AY30="","",(1+AY30)^#REF!-1)</f>
        <v/>
      </c>
      <c r="J30" s="54"/>
      <c r="K30" s="31"/>
      <c r="L30" s="32" t="str">
        <f>IF(B30="","",EXP(AVERAGE(Elaborazione!AA2:AA2958)*#REF!)-1)</f>
        <v/>
      </c>
      <c r="N30" s="57">
        <v>0</v>
      </c>
      <c r="O30" s="58">
        <v>1</v>
      </c>
      <c r="AY30" s="61"/>
    </row>
    <row r="31" spans="1:51" ht="12" hidden="1" customHeight="1">
      <c r="A31" s="61">
        <f t="shared" si="1"/>
        <v>0</v>
      </c>
      <c r="B31" s="27" t="str">
        <f>+IF(Elaborazione!$AB$1="","",Elaborazione!$AB$1)</f>
        <v/>
      </c>
      <c r="C31" s="23"/>
      <c r="D31" s="56"/>
      <c r="E31" s="34"/>
      <c r="F31" s="34" t="str">
        <f>+IF(B31="","",IF(ISERROR(VLOOKUP(B31,'[3]Rendimenti Attesi'!$B$3:$C$44,2,FALSE()))=TRUE,"nullo",VLOOKUP(B31,'[3]Rendimenti Attesi'!$B$3:$C$44,2,FALSE())))</f>
        <v/>
      </c>
      <c r="G31" s="34"/>
      <c r="H31" s="34" t="str">
        <f>+IF(AY31="","",(1+AY31)^#REF!-1)</f>
        <v/>
      </c>
      <c r="I31" s="34"/>
      <c r="J31" s="56"/>
      <c r="K31" s="34"/>
      <c r="L31" s="35" t="str">
        <f>IF(B31="","",EXP(AVERAGE(Elaborazione!AB2:AB2958)*#REF!)-1)</f>
        <v/>
      </c>
      <c r="N31" s="59">
        <v>0</v>
      </c>
      <c r="O31" s="60">
        <v>1</v>
      </c>
      <c r="AY31" s="61"/>
    </row>
    <row r="32" spans="1:51" ht="8.25" hidden="1" customHeight="1">
      <c r="A32" s="61"/>
      <c r="B32" s="87"/>
      <c r="D32" s="54"/>
      <c r="E32" s="31"/>
      <c r="F32" s="31"/>
      <c r="G32" s="31"/>
      <c r="H32" s="31"/>
      <c r="I32" s="31"/>
      <c r="J32" s="54"/>
      <c r="K32" s="31"/>
      <c r="L32" s="31"/>
      <c r="N32" s="58"/>
      <c r="O32" s="58"/>
      <c r="AY32" s="61"/>
    </row>
    <row r="33" spans="1:51" ht="6" hidden="1" customHeight="1">
      <c r="A33" s="61"/>
      <c r="B33" s="87"/>
      <c r="D33" s="54"/>
      <c r="E33" s="31"/>
      <c r="F33" s="31"/>
      <c r="G33" s="31"/>
      <c r="H33" s="31"/>
      <c r="I33" s="31"/>
      <c r="J33" s="54"/>
      <c r="K33" s="31"/>
      <c r="L33" s="31"/>
      <c r="N33" s="58"/>
      <c r="O33" s="58"/>
      <c r="AY33" s="61"/>
    </row>
    <row r="34" spans="1:51" ht="11.25" hidden="1" customHeight="1">
      <c r="A34" s="61"/>
      <c r="B34" s="87"/>
      <c r="D34" s="54"/>
      <c r="E34" s="31"/>
      <c r="F34" s="31"/>
      <c r="G34" s="31"/>
      <c r="H34" s="31"/>
      <c r="I34" s="31"/>
      <c r="J34" s="54"/>
      <c r="K34" s="31"/>
      <c r="L34" s="31"/>
      <c r="N34" s="58"/>
      <c r="O34" s="58"/>
      <c r="AY34" s="61"/>
    </row>
    <row r="35" spans="1:51" ht="13.5" hidden="1" customHeight="1">
      <c r="A35" s="61"/>
      <c r="B35" s="87"/>
      <c r="D35" s="54"/>
      <c r="E35" s="31"/>
      <c r="F35" s="31"/>
      <c r="G35" s="31"/>
      <c r="H35" s="31"/>
      <c r="I35" s="31"/>
      <c r="J35" s="54"/>
      <c r="K35" s="31"/>
      <c r="L35" s="31"/>
      <c r="N35" s="58"/>
      <c r="O35" s="58"/>
      <c r="AY35" s="61"/>
    </row>
    <row r="36" spans="1:51" ht="15.75" customHeight="1">
      <c r="A36" s="61">
        <v>1</v>
      </c>
      <c r="AY36" s="61"/>
    </row>
    <row r="37" spans="1:51" ht="15" customHeight="1">
      <c r="A37" s="61">
        <v>1</v>
      </c>
      <c r="AY37" s="61"/>
    </row>
    <row r="38" spans="1:51" ht="15" customHeight="1">
      <c r="A38" s="61">
        <v>1</v>
      </c>
      <c r="AY38" s="61"/>
    </row>
    <row r="39" spans="1:51">
      <c r="AY39" s="61"/>
    </row>
    <row r="41" spans="1:51" s="37" customFormat="1" ht="3" customHeight="1"/>
    <row r="65471" spans="11:11">
      <c r="K65471" s="30"/>
    </row>
    <row r="65474" spans="11:11" ht="15" customHeight="1">
      <c r="K65474" s="31"/>
    </row>
    <row r="65475" spans="11:11" ht="15" customHeight="1">
      <c r="K65475" s="31"/>
    </row>
    <row r="65476" spans="11:11" ht="15" customHeight="1">
      <c r="K65476" s="31"/>
    </row>
    <row r="65477" spans="11:11" ht="15" customHeight="1">
      <c r="K65477" s="31"/>
    </row>
    <row r="65478" spans="11:11" ht="15" customHeight="1">
      <c r="K65478" s="31"/>
    </row>
    <row r="65496" spans="9:11">
      <c r="I65496" s="30"/>
      <c r="K65496" s="30"/>
    </row>
    <row r="65499" spans="9:11" ht="15" customHeight="1">
      <c r="I65499" s="31"/>
      <c r="K65499" s="31"/>
    </row>
    <row r="65500" spans="9:11" ht="15" customHeight="1">
      <c r="I65500" s="31"/>
      <c r="K65500" s="31"/>
    </row>
    <row r="65501" spans="9:11" ht="15" customHeight="1">
      <c r="I65501" s="31"/>
      <c r="K65501" s="31"/>
    </row>
    <row r="65502" spans="9:11" ht="15" customHeight="1">
      <c r="I65502" s="31"/>
      <c r="K65502" s="31"/>
    </row>
    <row r="65503" spans="9:11" ht="15" customHeight="1">
      <c r="I65503" s="31"/>
      <c r="K65503" s="31"/>
    </row>
  </sheetData>
  <autoFilter ref="A2:A38" xr:uid="{00000000-0009-0000-0000-000001000000}">
    <filterColumn colId="0">
      <filters>
        <filter val="1"/>
      </filters>
    </filterColumn>
  </autoFilter>
  <mergeCells count="2">
    <mergeCell ref="B2:B3"/>
    <mergeCell ref="N2:O2"/>
  </mergeCells>
  <pageMargins left="0.75" right="0.75" top="1" bottom="1" header="0.5" footer="0.5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 filterMode="1">
    <pageSetUpPr fitToPage="1"/>
  </sheetPr>
  <dimension ref="A1:AJ65334"/>
  <sheetViews>
    <sheetView topLeftCell="B1" zoomScale="85" workbookViewId="0">
      <selection activeCell="G240" sqref="G240"/>
    </sheetView>
  </sheetViews>
  <sheetFormatPr baseColWidth="10" defaultColWidth="8.83203125" defaultRowHeight="13"/>
  <cols>
    <col min="1" max="1" width="2.1640625" hidden="1" customWidth="1"/>
    <col min="2" max="2" width="33.5" bestFit="1" customWidth="1"/>
    <col min="3" max="3" width="10" bestFit="1" customWidth="1"/>
    <col min="4" max="4" width="9.5" bestFit="1" customWidth="1"/>
    <col min="5" max="6" width="8.6640625" bestFit="1" customWidth="1"/>
    <col min="7" max="12" width="10" bestFit="1" customWidth="1"/>
    <col min="13" max="13" width="12.5" bestFit="1" customWidth="1"/>
    <col min="14" max="14" width="31.6640625" customWidth="1"/>
    <col min="15" max="15" width="8.5" customWidth="1"/>
    <col min="16" max="16" width="6.6640625" customWidth="1"/>
    <col min="17" max="17" width="13.5" bestFit="1" customWidth="1"/>
    <col min="19" max="19" width="23.83203125" bestFit="1" customWidth="1"/>
    <col min="20" max="20" width="22.5" bestFit="1" customWidth="1"/>
    <col min="27" max="27" width="6.6640625" bestFit="1" customWidth="1"/>
    <col min="28" max="28" width="9.83203125" customWidth="1"/>
    <col min="29" max="29" width="10.83203125" customWidth="1"/>
    <col min="33" max="33" width="7.1640625" customWidth="1"/>
    <col min="36" max="36" width="22.5" bestFit="1" customWidth="1"/>
  </cols>
  <sheetData>
    <row r="1" spans="1:36">
      <c r="B1" s="69"/>
    </row>
    <row r="2" spans="1:36" ht="15.75" customHeight="1">
      <c r="A2">
        <v>1</v>
      </c>
      <c r="B2" s="70"/>
      <c r="C2" s="122" t="s">
        <v>11</v>
      </c>
      <c r="D2" s="123" t="s">
        <v>12</v>
      </c>
      <c r="E2" s="123" t="s">
        <v>13</v>
      </c>
      <c r="F2" s="123" t="s">
        <v>14</v>
      </c>
      <c r="G2" s="123" t="s">
        <v>15</v>
      </c>
      <c r="H2" s="123" t="s">
        <v>16</v>
      </c>
      <c r="I2" s="123" t="s">
        <v>17</v>
      </c>
      <c r="J2" s="123" t="s">
        <v>18</v>
      </c>
      <c r="K2" s="124" t="s">
        <v>19</v>
      </c>
      <c r="L2" s="123" t="s">
        <v>20</v>
      </c>
      <c r="M2" s="103"/>
      <c r="N2" s="133" t="s">
        <v>21</v>
      </c>
      <c r="O2" s="134"/>
      <c r="P2" s="22"/>
      <c r="Q2" s="115"/>
      <c r="Y2" s="18"/>
      <c r="AA2" s="4"/>
      <c r="AB2" s="18"/>
      <c r="AC2" s="18"/>
      <c r="AE2" s="18"/>
      <c r="AF2" s="4"/>
      <c r="AH2" s="18"/>
      <c r="AJ2" s="18"/>
    </row>
    <row r="3" spans="1:36" ht="16.5" customHeight="1">
      <c r="A3">
        <f t="shared" ref="A3:A29" si="0">+IF(B3="",0,1)</f>
        <v>0</v>
      </c>
      <c r="B3" s="71" t="str">
        <f>+IF(Elaborazione!$B1="","",Elaborazione!$B1)</f>
        <v/>
      </c>
      <c r="C3" s="89"/>
      <c r="D3" s="10"/>
      <c r="E3" s="10"/>
      <c r="F3" s="10"/>
      <c r="G3" s="10"/>
      <c r="H3" s="10"/>
      <c r="I3" s="10"/>
      <c r="J3" s="7"/>
      <c r="K3" s="7"/>
      <c r="L3" s="10"/>
      <c r="M3" s="104"/>
      <c r="N3" s="73" t="str">
        <f t="shared" ref="N3:N29" si="1">IF(B3="","",B3)</f>
        <v/>
      </c>
      <c r="O3" s="101" t="str">
        <f>IF(N3="","",IF(Input!$D$4="si",Input!D5,IF(Input!$F$4="si",Input!F5,IF(Input!$H$4="si",Input!H5,IF(Input!$J$4="si",Input!J5,Input!L5)))))</f>
        <v/>
      </c>
      <c r="P3" s="22"/>
      <c r="Q3" s="88"/>
      <c r="Y3" s="18"/>
      <c r="AA3" s="4"/>
      <c r="AB3" s="18"/>
      <c r="AC3" s="18"/>
      <c r="AE3" s="18"/>
      <c r="AF3" s="4"/>
      <c r="AH3" s="18"/>
      <c r="AJ3" s="18"/>
    </row>
    <row r="4" spans="1:36" ht="16.5" customHeight="1">
      <c r="A4">
        <f t="shared" si="0"/>
        <v>0</v>
      </c>
      <c r="B4" s="72" t="str">
        <f>+IF(Elaborazione!$C$1="","",Elaborazione!$C$1)</f>
        <v/>
      </c>
      <c r="C4" s="91"/>
      <c r="D4" s="92"/>
      <c r="E4" s="92"/>
      <c r="F4" s="92"/>
      <c r="G4" s="92"/>
      <c r="H4" s="92"/>
      <c r="I4" s="92"/>
      <c r="J4" s="93"/>
      <c r="K4" s="93"/>
      <c r="L4" s="92"/>
      <c r="M4" s="105"/>
      <c r="N4" s="74" t="str">
        <f t="shared" si="1"/>
        <v/>
      </c>
      <c r="O4" s="102" t="str">
        <f>IF(N4="","",IF(Input!$D$4="si",Input!D6,IF(Input!$F$4="si",Input!F6,IF(Input!$H$4="si",Input!H6,IF(Input!$J$4="si",Input!J6,Input!L6)))))</f>
        <v/>
      </c>
      <c r="P4" s="22"/>
      <c r="Q4" s="88"/>
      <c r="R4" s="41"/>
      <c r="S4" s="41"/>
      <c r="Y4" s="18"/>
      <c r="AA4" s="4"/>
      <c r="AB4" s="18"/>
      <c r="AC4" s="18"/>
      <c r="AE4" s="18"/>
      <c r="AF4" s="4"/>
      <c r="AH4" s="18"/>
      <c r="AJ4" s="18"/>
    </row>
    <row r="5" spans="1:36" ht="16.5" customHeight="1">
      <c r="A5">
        <f t="shared" si="0"/>
        <v>0</v>
      </c>
      <c r="B5" s="71" t="str">
        <f>+IF(Elaborazione!$D$1="","",Elaborazione!D$1)</f>
        <v/>
      </c>
      <c r="C5" s="89"/>
      <c r="D5" s="10"/>
      <c r="E5" s="10"/>
      <c r="F5" s="10"/>
      <c r="G5" s="10"/>
      <c r="H5" s="10"/>
      <c r="I5" s="10"/>
      <c r="J5" s="7"/>
      <c r="K5" s="7"/>
      <c r="L5" s="10"/>
      <c r="M5" s="104"/>
      <c r="N5" s="73" t="str">
        <f t="shared" si="1"/>
        <v/>
      </c>
      <c r="O5" s="101" t="str">
        <f>IF(N5="","",IF(Input!$D$4="si",Input!D7,IF(Input!$F$4="si",Input!F7,IF(Input!$H$4="si",Input!H7,IF(Input!$J$4="si",Input!J7,Input!L7)))))</f>
        <v/>
      </c>
      <c r="P5" s="22"/>
      <c r="Q5" s="88"/>
      <c r="R5" s="42"/>
      <c r="S5" s="42"/>
      <c r="T5" s="42"/>
      <c r="Y5" s="18"/>
      <c r="AA5" s="19"/>
      <c r="AB5" s="18"/>
      <c r="AC5" s="18"/>
      <c r="AE5" s="18"/>
      <c r="AF5" s="19"/>
      <c r="AG5" s="18"/>
      <c r="AH5" s="18"/>
      <c r="AJ5" s="18"/>
    </row>
    <row r="6" spans="1:36" ht="16.5" customHeight="1">
      <c r="A6">
        <f t="shared" si="0"/>
        <v>0</v>
      </c>
      <c r="B6" s="72" t="str">
        <f>+IF(Elaborazione!$E$1="","",Elaborazione!$E$1)</f>
        <v/>
      </c>
      <c r="C6" s="91"/>
      <c r="D6" s="92"/>
      <c r="E6" s="92"/>
      <c r="F6" s="92"/>
      <c r="G6" s="92"/>
      <c r="H6" s="92"/>
      <c r="I6" s="92"/>
      <c r="J6" s="93"/>
      <c r="K6" s="93"/>
      <c r="L6" s="92"/>
      <c r="M6" s="105"/>
      <c r="N6" s="74" t="str">
        <f t="shared" si="1"/>
        <v/>
      </c>
      <c r="O6" s="102" t="str">
        <f>IF(N6="","",IF(Input!$D$4="si",Input!D8,IF(Input!$F$4="si",Input!F8,IF(Input!$H$4="si",Input!H8,IF(Input!$J$4="si",Input!J8,Input!L8)))))</f>
        <v/>
      </c>
      <c r="P6" s="22"/>
      <c r="Q6" s="88"/>
      <c r="R6" s="19"/>
      <c r="S6" s="38"/>
      <c r="T6" s="38"/>
      <c r="Y6" s="18"/>
      <c r="AA6" s="19"/>
      <c r="AB6" s="18"/>
      <c r="AC6" s="18"/>
      <c r="AE6" s="18"/>
      <c r="AF6" s="19"/>
      <c r="AG6" s="18"/>
      <c r="AH6" s="18"/>
      <c r="AJ6" s="18"/>
    </row>
    <row r="7" spans="1:36" ht="16.5" customHeight="1">
      <c r="A7">
        <f t="shared" si="0"/>
        <v>0</v>
      </c>
      <c r="B7" s="71" t="str">
        <f>+IF(Elaborazione!$F$1="","",Elaborazione!$F$1)</f>
        <v/>
      </c>
      <c r="C7" s="89"/>
      <c r="D7" s="10"/>
      <c r="E7" s="10"/>
      <c r="F7" s="10"/>
      <c r="G7" s="10"/>
      <c r="H7" s="10"/>
      <c r="I7" s="10"/>
      <c r="J7" s="7"/>
      <c r="K7" s="7"/>
      <c r="L7" s="10"/>
      <c r="M7" s="104"/>
      <c r="N7" s="73" t="str">
        <f t="shared" si="1"/>
        <v/>
      </c>
      <c r="O7" s="101" t="str">
        <f>IF(N7="","",IF(Input!$D$4="si",Input!D9,IF(Input!$F$4="si",Input!F9,IF(Input!$H$4="si",Input!H9,IF(Input!$J$4="si",Input!J9,Input!L9)))))</f>
        <v/>
      </c>
      <c r="P7" s="64"/>
      <c r="Q7" s="88"/>
      <c r="R7" s="19"/>
      <c r="S7" s="38"/>
      <c r="T7" s="38"/>
      <c r="Y7" s="18"/>
      <c r="AA7" s="19"/>
      <c r="AB7" s="18"/>
      <c r="AC7" s="18"/>
      <c r="AE7" s="18"/>
      <c r="AF7" s="19"/>
      <c r="AG7" s="18"/>
      <c r="AH7" s="18"/>
      <c r="AJ7" s="18"/>
    </row>
    <row r="8" spans="1:36" ht="16.5" customHeight="1">
      <c r="A8">
        <f t="shared" si="0"/>
        <v>0</v>
      </c>
      <c r="B8" s="72" t="str">
        <f>+IF(Elaborazione!$G$1="","",Elaborazione!$G$1)</f>
        <v/>
      </c>
      <c r="C8" s="91"/>
      <c r="D8" s="92"/>
      <c r="E8" s="92"/>
      <c r="F8" s="92"/>
      <c r="G8" s="92"/>
      <c r="H8" s="92"/>
      <c r="I8" s="92"/>
      <c r="J8" s="93"/>
      <c r="K8" s="93"/>
      <c r="L8" s="92"/>
      <c r="M8" s="105"/>
      <c r="N8" s="74" t="str">
        <f t="shared" si="1"/>
        <v/>
      </c>
      <c r="O8" s="102" t="str">
        <f>IF(N8="","",IF(Input!$D$4="si",Input!D10,IF(Input!$F$4="si",Input!F10,IF(Input!$H$4="si",Input!H10,IF(Input!$J$4="si",Input!J10,Input!L10)))))</f>
        <v/>
      </c>
      <c r="P8" s="22"/>
      <c r="Q8" s="88"/>
      <c r="R8" s="19"/>
      <c r="S8" s="38"/>
      <c r="T8" s="38"/>
      <c r="Y8" s="18"/>
      <c r="AA8" s="19"/>
      <c r="AB8" s="18"/>
      <c r="AC8" s="18"/>
      <c r="AE8" s="18"/>
      <c r="AF8" s="19"/>
      <c r="AG8" s="18"/>
      <c r="AH8" s="18"/>
      <c r="AJ8" s="18"/>
    </row>
    <row r="9" spans="1:36" ht="16.5" customHeight="1">
      <c r="A9" s="68">
        <f t="shared" si="0"/>
        <v>0</v>
      </c>
      <c r="B9" s="71" t="str">
        <f>+IF(Elaborazione!$H$1="","",Elaborazione!$H$1)</f>
        <v/>
      </c>
      <c r="C9" s="89"/>
      <c r="D9" s="10"/>
      <c r="E9" s="10"/>
      <c r="F9" s="10"/>
      <c r="G9" s="10"/>
      <c r="H9" s="10"/>
      <c r="I9" s="10"/>
      <c r="J9" s="7"/>
      <c r="K9" s="7"/>
      <c r="L9" s="10"/>
      <c r="M9" s="104"/>
      <c r="N9" s="73" t="str">
        <f t="shared" si="1"/>
        <v/>
      </c>
      <c r="O9" s="101" t="str">
        <f>IF(N9="","",IF(Input!$D$4="si",Input!D11,IF(Input!$F$4="si",Input!F11,IF(Input!$H$4="si",Input!H11,IF(Input!$J$4="si",Input!J11,Input!L11)))))</f>
        <v/>
      </c>
      <c r="P9" s="22"/>
      <c r="Q9" s="88"/>
      <c r="R9" s="19"/>
      <c r="S9" s="38"/>
      <c r="T9" s="38"/>
      <c r="Y9" s="18"/>
      <c r="AA9" s="19"/>
      <c r="AB9" s="18"/>
      <c r="AC9" s="18"/>
      <c r="AE9" s="18"/>
      <c r="AF9" s="19"/>
      <c r="AG9" s="18"/>
      <c r="AH9" s="18"/>
      <c r="AJ9" s="18"/>
    </row>
    <row r="10" spans="1:36" ht="16.5" customHeight="1">
      <c r="A10" s="68">
        <f t="shared" si="0"/>
        <v>0</v>
      </c>
      <c r="B10" s="72" t="str">
        <f>+IF(Elaborazione!$I$1="","",Elaborazione!$I$1)</f>
        <v/>
      </c>
      <c r="C10" s="91"/>
      <c r="D10" s="92"/>
      <c r="E10" s="92"/>
      <c r="F10" s="92"/>
      <c r="G10" s="92"/>
      <c r="H10" s="92"/>
      <c r="I10" s="92"/>
      <c r="J10" s="93"/>
      <c r="K10" s="93"/>
      <c r="L10" s="92"/>
      <c r="M10" s="105"/>
      <c r="N10" s="74" t="str">
        <f t="shared" si="1"/>
        <v/>
      </c>
      <c r="O10" s="102" t="str">
        <f>IF(N10="","",IF(Input!$D$4="si",Input!D12,IF(Input!$F$4="si",Input!F12,IF(Input!$H$4="si",Input!H12,IF(Input!$J$4="si",Input!J12,Input!L12)))))</f>
        <v/>
      </c>
      <c r="P10" s="22"/>
      <c r="Q10" s="88"/>
      <c r="R10" s="19"/>
      <c r="S10" s="38"/>
      <c r="T10" s="38"/>
      <c r="Y10" s="18"/>
      <c r="AA10" s="19"/>
      <c r="AB10" s="18"/>
      <c r="AC10" s="18"/>
      <c r="AE10" s="18"/>
      <c r="AF10" s="19"/>
      <c r="AG10" s="18"/>
      <c r="AH10" s="18"/>
      <c r="AJ10" s="18"/>
    </row>
    <row r="11" spans="1:36" ht="16.5" customHeight="1">
      <c r="A11" s="68">
        <f t="shared" si="0"/>
        <v>0</v>
      </c>
      <c r="B11" s="71" t="str">
        <f>+IF(Elaborazione!$J$1="","",Elaborazione!$J$1)</f>
        <v/>
      </c>
      <c r="C11" s="89"/>
      <c r="D11" s="10"/>
      <c r="E11" s="10"/>
      <c r="F11" s="10"/>
      <c r="G11" s="10"/>
      <c r="H11" s="10"/>
      <c r="I11" s="10"/>
      <c r="J11" s="7"/>
      <c r="K11" s="7"/>
      <c r="L11" s="10"/>
      <c r="M11" s="104"/>
      <c r="N11" s="73" t="str">
        <f t="shared" si="1"/>
        <v/>
      </c>
      <c r="O11" s="101" t="str">
        <f>IF(N11="","",IF(Input!$D$4="si",Input!D13,IF(Input!$F$4="si",Input!F13,IF(Input!$H$4="si",Input!H13,IF(Input!$J$4="si",Input!J13,Input!L13)))))</f>
        <v/>
      </c>
      <c r="P11" s="19"/>
      <c r="Q11" s="88"/>
      <c r="R11" s="19"/>
      <c r="T11" s="38"/>
      <c r="Y11" s="18"/>
      <c r="AA11" s="19"/>
      <c r="AB11" s="18"/>
      <c r="AC11" s="18"/>
      <c r="AE11" s="18"/>
      <c r="AF11" s="19"/>
      <c r="AG11" s="18"/>
      <c r="AH11" s="18"/>
      <c r="AJ11" s="18"/>
    </row>
    <row r="12" spans="1:36" ht="16.5" customHeight="1">
      <c r="A12" s="68">
        <f t="shared" si="0"/>
        <v>0</v>
      </c>
      <c r="B12" s="72" t="str">
        <f>+IF(Elaborazione!$K$1="","",Elaborazione!$K$1)</f>
        <v/>
      </c>
      <c r="C12" s="91"/>
      <c r="D12" s="92"/>
      <c r="E12" s="92"/>
      <c r="F12" s="92"/>
      <c r="G12" s="92"/>
      <c r="H12" s="92"/>
      <c r="I12" s="92"/>
      <c r="J12" s="93"/>
      <c r="K12" s="93"/>
      <c r="L12" s="92"/>
      <c r="M12" s="105"/>
      <c r="N12" s="74" t="str">
        <f t="shared" si="1"/>
        <v/>
      </c>
      <c r="O12" s="102" t="str">
        <f>IF(N12="","",IF(Input!$D$4="si",Input!D14,IF(Input!$F$4="si",Input!F14,IF(Input!$H$4="si",Input!H14,IF(Input!$J$4="si",Input!J14,Input!L14)))))</f>
        <v/>
      </c>
      <c r="P12" s="22"/>
      <c r="Q12" s="88"/>
      <c r="R12" s="19"/>
      <c r="T12" s="38"/>
      <c r="Y12" s="18"/>
      <c r="AA12" s="19"/>
      <c r="AB12" s="18"/>
      <c r="AC12" s="18"/>
      <c r="AE12" s="18"/>
      <c r="AF12" s="19"/>
      <c r="AG12" s="18"/>
      <c r="AH12" s="18"/>
      <c r="AJ12" s="18"/>
    </row>
    <row r="13" spans="1:36" ht="16.5" customHeight="1">
      <c r="A13" s="68">
        <f t="shared" si="0"/>
        <v>0</v>
      </c>
      <c r="B13" s="71" t="str">
        <f>+IF(Elaborazione!$L$1="","",Elaborazione!$L$1)</f>
        <v/>
      </c>
      <c r="C13" s="89"/>
      <c r="D13" s="10"/>
      <c r="E13" s="10"/>
      <c r="F13" s="10"/>
      <c r="G13" s="10"/>
      <c r="H13" s="10"/>
      <c r="I13" s="10"/>
      <c r="J13" s="7"/>
      <c r="K13" s="7"/>
      <c r="L13" s="10"/>
      <c r="M13" s="104"/>
      <c r="N13" s="73" t="str">
        <f t="shared" si="1"/>
        <v/>
      </c>
      <c r="O13" s="101" t="str">
        <f>IF(N13="","",IF(Input!$D$4="si",Input!D15,IF(Input!$F$4="si",Input!F15,IF(Input!$H$4="si",Input!H15,IF(Input!$J$4="si",Input!J15,Input!L15)))))</f>
        <v/>
      </c>
      <c r="P13" s="65"/>
      <c r="Q13" s="88"/>
      <c r="R13" s="19"/>
      <c r="S13" s="38"/>
      <c r="T13" s="38"/>
      <c r="Y13" s="18"/>
      <c r="AA13" s="19"/>
      <c r="AB13" s="18"/>
      <c r="AC13" s="18"/>
      <c r="AE13" s="18"/>
      <c r="AF13" s="19"/>
      <c r="AG13" s="18"/>
      <c r="AH13" s="18"/>
      <c r="AJ13" s="18"/>
    </row>
    <row r="14" spans="1:36" ht="16.5" customHeight="1">
      <c r="A14" s="68">
        <f t="shared" si="0"/>
        <v>0</v>
      </c>
      <c r="B14" s="72" t="str">
        <f>+IF(Elaborazione!$M$1="","",Elaborazione!$M$1)</f>
        <v/>
      </c>
      <c r="C14" s="91"/>
      <c r="D14" s="92"/>
      <c r="E14" s="92"/>
      <c r="F14" s="92"/>
      <c r="G14" s="92"/>
      <c r="H14" s="92"/>
      <c r="I14" s="92"/>
      <c r="J14" s="93"/>
      <c r="K14" s="93"/>
      <c r="L14" s="92"/>
      <c r="M14" s="105"/>
      <c r="N14" s="74" t="str">
        <f t="shared" si="1"/>
        <v/>
      </c>
      <c r="O14" s="102" t="str">
        <f>IF(N14="","",IF(Input!$D$4="si",Input!D16,IF(Input!$F$4="si",Input!F16,IF(Input!$H$4="si",Input!H16,IF(Input!$J$4="si",Input!J16,Input!L16)))))</f>
        <v/>
      </c>
      <c r="P14" s="22"/>
      <c r="Q14" s="88"/>
      <c r="R14" s="41"/>
      <c r="S14" s="66"/>
      <c r="T14" s="41"/>
    </row>
    <row r="15" spans="1:36" ht="16.5" customHeight="1">
      <c r="A15" s="68">
        <f t="shared" si="0"/>
        <v>0</v>
      </c>
      <c r="B15" s="71" t="str">
        <f>+IF(Elaborazione!$N$1="","",Elaborazione!$N$1)</f>
        <v/>
      </c>
      <c r="C15" s="89"/>
      <c r="D15" s="10"/>
      <c r="E15" s="10"/>
      <c r="F15" s="10"/>
      <c r="G15" s="10"/>
      <c r="H15" s="10"/>
      <c r="I15" s="10"/>
      <c r="J15" s="7"/>
      <c r="K15" s="7"/>
      <c r="L15" s="10"/>
      <c r="M15" s="104"/>
      <c r="N15" s="73" t="str">
        <f t="shared" si="1"/>
        <v/>
      </c>
      <c r="O15" s="101" t="str">
        <f>IF(N15="","",IF(Input!$D$4="si",Input!D17,IF(Input!$F$4="si",Input!F17,IF(Input!$H$4="si",Input!H17,IF(Input!$J$4="si",Input!J17,Input!L17)))))</f>
        <v/>
      </c>
      <c r="P15" s="8"/>
      <c r="Q15" s="88"/>
      <c r="S15" s="38"/>
    </row>
    <row r="16" spans="1:36" ht="16.5" customHeight="1">
      <c r="A16" s="68">
        <f t="shared" si="0"/>
        <v>0</v>
      </c>
      <c r="B16" s="72" t="str">
        <f>+IF(Elaborazione!$O$1="","",Elaborazione!$O$1)</f>
        <v/>
      </c>
      <c r="C16" s="91"/>
      <c r="D16" s="92"/>
      <c r="E16" s="92"/>
      <c r="F16" s="92"/>
      <c r="G16" s="92"/>
      <c r="H16" s="92"/>
      <c r="I16" s="92"/>
      <c r="J16" s="93"/>
      <c r="K16" s="93"/>
      <c r="L16" s="92"/>
      <c r="M16" s="105"/>
      <c r="N16" s="74" t="str">
        <f t="shared" si="1"/>
        <v/>
      </c>
      <c r="O16" s="102" t="str">
        <f>IF(N16="","",IF(Input!$D$4="si",Input!D18,IF(Input!$F$4="si",Input!F18,IF(Input!$H$4="si",Input!H18,IF(Input!$J$4="si",Input!J18,Input!L18)))))</f>
        <v/>
      </c>
      <c r="P16" s="8"/>
      <c r="Q16" s="88"/>
      <c r="S16" s="41"/>
    </row>
    <row r="17" spans="1:17" ht="16.5" customHeight="1">
      <c r="A17" s="68">
        <f t="shared" si="0"/>
        <v>0</v>
      </c>
      <c r="B17" s="71" t="str">
        <f>+IF(Elaborazione!$P$1="","",Elaborazione!$P$1)</f>
        <v/>
      </c>
      <c r="C17" s="89"/>
      <c r="D17" s="10"/>
      <c r="E17" s="10"/>
      <c r="F17" s="10"/>
      <c r="G17" s="10"/>
      <c r="H17" s="10"/>
      <c r="I17" s="10"/>
      <c r="J17" s="7"/>
      <c r="K17" s="7"/>
      <c r="L17" s="10"/>
      <c r="M17" s="104"/>
      <c r="N17" s="73" t="str">
        <f t="shared" si="1"/>
        <v/>
      </c>
      <c r="O17" s="101" t="str">
        <f>IF(N17="","",IF(Input!$D$4="si",Input!D19,IF(Input!$F$4="si",Input!F19,IF(Input!$H$4="si",Input!H19,IF(Input!$J$4="si",Input!J19,Input!L19)))))</f>
        <v/>
      </c>
      <c r="P17" s="8"/>
      <c r="Q17" s="88"/>
    </row>
    <row r="18" spans="1:17" ht="18" customHeight="1">
      <c r="A18">
        <f t="shared" si="0"/>
        <v>0</v>
      </c>
      <c r="B18" s="72" t="str">
        <f>+IF(Elaborazione!$Q$1="","",Elaborazione!$Q$1)</f>
        <v/>
      </c>
      <c r="C18" s="91"/>
      <c r="D18" s="92"/>
      <c r="E18" s="92"/>
      <c r="F18" s="92"/>
      <c r="G18" s="92"/>
      <c r="H18" s="92"/>
      <c r="I18" s="92"/>
      <c r="J18" s="93"/>
      <c r="K18" s="93"/>
      <c r="L18" s="92"/>
      <c r="M18" s="105"/>
      <c r="N18" s="74" t="str">
        <f t="shared" si="1"/>
        <v/>
      </c>
      <c r="O18" s="102"/>
      <c r="P18" s="8"/>
      <c r="Q18" s="88"/>
    </row>
    <row r="19" spans="1:17" ht="16.5" customHeight="1">
      <c r="A19">
        <f t="shared" si="0"/>
        <v>0</v>
      </c>
      <c r="B19" s="71" t="str">
        <f>+IF(Elaborazione!$R$1="","",Elaborazione!$R$1)</f>
        <v/>
      </c>
      <c r="C19" s="89"/>
      <c r="D19" s="10"/>
      <c r="E19" s="10"/>
      <c r="F19" s="10"/>
      <c r="G19" s="10"/>
      <c r="H19" s="10"/>
      <c r="I19" s="10"/>
      <c r="J19" s="7"/>
      <c r="K19" s="7"/>
      <c r="L19" s="10"/>
      <c r="M19" s="104"/>
      <c r="N19" s="73" t="str">
        <f t="shared" si="1"/>
        <v/>
      </c>
      <c r="O19" s="101"/>
      <c r="P19" s="8"/>
      <c r="Q19" s="88"/>
    </row>
    <row r="20" spans="1:17" ht="15.75" customHeight="1">
      <c r="A20">
        <f t="shared" si="0"/>
        <v>0</v>
      </c>
      <c r="B20" s="72" t="str">
        <f>+IF(Elaborazione!$S$1="","",Elaborazione!$S$1)</f>
        <v/>
      </c>
      <c r="C20" s="91"/>
      <c r="D20" s="92"/>
      <c r="E20" s="92"/>
      <c r="F20" s="92"/>
      <c r="G20" s="92"/>
      <c r="H20" s="92"/>
      <c r="I20" s="92"/>
      <c r="J20" s="93"/>
      <c r="K20" s="93"/>
      <c r="L20" s="92"/>
      <c r="M20" s="105"/>
      <c r="N20" s="74" t="str">
        <f t="shared" si="1"/>
        <v/>
      </c>
      <c r="O20" s="102" t="str">
        <f>IF(N20="","",IF(Input!$D$4="si",Input!D22,IF(Input!$F$4="si",Input!F22,IF(Input!$H$4="si",Input!H22,IF(Input!$J$4="si",Input!J22,Input!L22)))))</f>
        <v/>
      </c>
      <c r="P20" s="8"/>
      <c r="Q20" s="88"/>
    </row>
    <row r="21" spans="1:17" ht="12" hidden="1" customHeight="1">
      <c r="A21">
        <f t="shared" si="0"/>
        <v>0</v>
      </c>
      <c r="B21" s="71" t="str">
        <f>+IF(Elaborazione!$T$1="","",Elaborazione!$T$1)</f>
        <v/>
      </c>
      <c r="C21" s="89"/>
      <c r="D21" s="10"/>
      <c r="E21" s="10"/>
      <c r="F21" s="10"/>
      <c r="G21" s="10"/>
      <c r="H21" s="12"/>
      <c r="I21" s="7"/>
      <c r="J21" s="7"/>
      <c r="K21" s="7"/>
      <c r="L21" s="10"/>
      <c r="M21" s="90"/>
      <c r="N21" s="73" t="str">
        <f t="shared" si="1"/>
        <v/>
      </c>
      <c r="O21" s="101" t="str">
        <f>IF(N21="","",IF(Input!$D$4="si",Input!D23,IF(Input!$F$4="si",Input!F23,IF(Input!$H$4="si",Input!H23,IF(Input!$J$4="si",Input!J23,Input!L23)))))</f>
        <v/>
      </c>
      <c r="P21" s="8"/>
    </row>
    <row r="22" spans="1:17" ht="11.25" hidden="1" customHeight="1">
      <c r="A22">
        <f t="shared" si="0"/>
        <v>0</v>
      </c>
      <c r="B22" s="71" t="str">
        <f>+IF(Elaborazione!$U$1="","",Elaborazione!$U$1)</f>
        <v/>
      </c>
      <c r="C22" s="75"/>
      <c r="D22" s="8"/>
      <c r="E22" s="8"/>
      <c r="F22" s="8"/>
      <c r="G22" s="8"/>
      <c r="H22" s="8"/>
      <c r="I22" s="8"/>
      <c r="J22" s="8"/>
      <c r="K22" s="8"/>
      <c r="L22" s="8"/>
      <c r="M22" s="76"/>
      <c r="N22" s="73" t="str">
        <f t="shared" si="1"/>
        <v/>
      </c>
      <c r="O22" s="80" t="str">
        <f>IF(N22="","",IF(Input!$D$4="si",Input!D24,IF(Input!$F$4="si",Input!F24,IF(Input!$H$4="si",Input!H24,IF(Input!$J$4="si",Input!J24,Input!L24)))))</f>
        <v/>
      </c>
      <c r="P22" s="8"/>
    </row>
    <row r="23" spans="1:17" ht="14.25" hidden="1" customHeight="1">
      <c r="A23">
        <f t="shared" si="0"/>
        <v>0</v>
      </c>
      <c r="B23" s="72" t="str">
        <f>+IF(Elaborazione!$V$1="","",Elaborazione!$V$1)</f>
        <v/>
      </c>
      <c r="C23" s="77"/>
      <c r="D23" s="78"/>
      <c r="E23" s="78"/>
      <c r="F23" s="78"/>
      <c r="G23" s="78"/>
      <c r="H23" s="78"/>
      <c r="I23" s="78"/>
      <c r="J23" s="78"/>
      <c r="K23" s="78"/>
      <c r="L23" s="78"/>
      <c r="M23" s="79"/>
      <c r="N23" s="74" t="str">
        <f t="shared" si="1"/>
        <v/>
      </c>
      <c r="O23" s="81" t="str">
        <f>IF(N23="","",IF(Input!$D$4="si",Input!D25,IF(Input!$F$4="si",Input!F25,IF(Input!$H$4="si",Input!H25,IF(Input!$J$4="si",Input!J25,Input!L25)))))</f>
        <v/>
      </c>
      <c r="P23" s="8"/>
    </row>
    <row r="24" spans="1:17" ht="9.75" hidden="1" customHeight="1">
      <c r="A24">
        <f t="shared" si="0"/>
        <v>0</v>
      </c>
      <c r="B24" s="71" t="str">
        <f>+IF(Elaborazione!$W$1="","",Elaborazione!$W$1)</f>
        <v/>
      </c>
      <c r="C24" s="75"/>
      <c r="D24" s="8"/>
      <c r="E24" s="8"/>
      <c r="F24" s="8"/>
      <c r="G24" s="8"/>
      <c r="H24" s="8"/>
      <c r="I24" s="8"/>
      <c r="J24" s="8"/>
      <c r="K24" s="8"/>
      <c r="L24" s="8"/>
      <c r="M24" s="76"/>
      <c r="N24" s="73" t="str">
        <f t="shared" si="1"/>
        <v/>
      </c>
      <c r="O24" s="80" t="str">
        <f>IF(N24="","",IF(Input!$D$4="si",Input!D26,IF(Input!$F$4="si",Input!F26,IF(Input!$H$4="si",Input!H26,IF(Input!$J$4="si",Input!J26,Input!L26)))))</f>
        <v/>
      </c>
      <c r="P24" s="8"/>
    </row>
    <row r="25" spans="1:17" ht="11.25" hidden="1" customHeight="1">
      <c r="A25">
        <f t="shared" si="0"/>
        <v>0</v>
      </c>
      <c r="B25" s="72" t="str">
        <f>+IF(Elaborazione!$X$1="","",Elaborazione!$X$1)</f>
        <v/>
      </c>
      <c r="C25" s="77"/>
      <c r="D25" s="78"/>
      <c r="E25" s="78"/>
      <c r="F25" s="78"/>
      <c r="G25" s="78"/>
      <c r="H25" s="78"/>
      <c r="I25" s="78"/>
      <c r="J25" s="78"/>
      <c r="K25" s="78"/>
      <c r="L25" s="78"/>
      <c r="M25" s="79"/>
      <c r="N25" s="74" t="str">
        <f t="shared" si="1"/>
        <v/>
      </c>
      <c r="O25" s="81" t="str">
        <f>IF(N25="","",IF(Input!$D$4="si",Input!D27,IF(Input!$F$4="si",Input!F27,IF(Input!$H$4="si",Input!H27,IF(Input!$J$4="si",Input!J27,Input!L27)))))</f>
        <v/>
      </c>
      <c r="P25" s="8"/>
    </row>
    <row r="26" spans="1:17" ht="6.75" hidden="1" customHeight="1">
      <c r="A26">
        <f t="shared" si="0"/>
        <v>0</v>
      </c>
      <c r="B26" s="71" t="str">
        <f>+IF(Elaborazione!$Y$1="","",Elaborazione!$Y$1)</f>
        <v/>
      </c>
      <c r="C26" s="75"/>
      <c r="D26" s="8"/>
      <c r="E26" s="8"/>
      <c r="F26" s="8"/>
      <c r="G26" s="8"/>
      <c r="H26" s="8"/>
      <c r="I26" s="8"/>
      <c r="J26" s="8"/>
      <c r="K26" s="8"/>
      <c r="L26" s="8"/>
      <c r="M26" s="76"/>
      <c r="N26" s="73" t="str">
        <f t="shared" si="1"/>
        <v/>
      </c>
      <c r="O26" s="80" t="str">
        <f>IF(N26="","",IF(Input!$D$4="si",Input!D28,IF(Input!$F$4="si",Input!F28,IF(Input!$H$4="si",Input!H28,IF(Input!$J$4="si",Input!J28,Input!L28)))))</f>
        <v/>
      </c>
      <c r="P26" s="8"/>
    </row>
    <row r="27" spans="1:17" ht="11.25" hidden="1" customHeight="1">
      <c r="A27">
        <f t="shared" si="0"/>
        <v>0</v>
      </c>
      <c r="B27" s="72" t="str">
        <f>+IF(Elaborazione!$Z$1="","",Elaborazione!$Z$1)</f>
        <v/>
      </c>
      <c r="C27" s="77"/>
      <c r="D27" s="78"/>
      <c r="E27" s="78"/>
      <c r="F27" s="78"/>
      <c r="G27" s="78"/>
      <c r="H27" s="78"/>
      <c r="I27" s="78"/>
      <c r="J27" s="78"/>
      <c r="K27" s="78"/>
      <c r="L27" s="78"/>
      <c r="M27" s="79"/>
      <c r="N27" s="74" t="str">
        <f t="shared" si="1"/>
        <v/>
      </c>
      <c r="O27" s="81" t="str">
        <f>IF(N27="","",IF(Input!$D$4="si",Input!D29,IF(Input!$F$4="si",Input!F29,IF(Input!$H$4="si",Input!H29,IF(Input!$J$4="si",Input!J29,Input!L29)))))</f>
        <v/>
      </c>
      <c r="P27" s="8"/>
    </row>
    <row r="28" spans="1:17" ht="6.75" hidden="1" customHeight="1">
      <c r="A28">
        <f t="shared" si="0"/>
        <v>0</v>
      </c>
      <c r="B28" s="71" t="str">
        <f>+IF(Elaborazione!$AA$1="","",Elaborazione!$AA$1)</f>
        <v/>
      </c>
      <c r="C28" s="75"/>
      <c r="D28" s="8"/>
      <c r="E28" s="8"/>
      <c r="F28" s="8"/>
      <c r="G28" s="8"/>
      <c r="H28" s="8"/>
      <c r="I28" s="8"/>
      <c r="J28" s="8"/>
      <c r="K28" s="8"/>
      <c r="L28" s="8"/>
      <c r="M28" s="76"/>
      <c r="N28" s="73" t="str">
        <f t="shared" si="1"/>
        <v/>
      </c>
      <c r="O28" s="80" t="str">
        <f>IF(N28="","",IF(Input!$D$4="si",Input!D30,IF(Input!$F$4="si",Input!F30,IF(Input!$H$4="si",Input!H30,IF(Input!$J$4="si",Input!J30,Input!L30)))))</f>
        <v/>
      </c>
      <c r="P28" s="8"/>
    </row>
    <row r="29" spans="1:17" s="43" customFormat="1" ht="15.75" hidden="1" customHeight="1" thickBot="1">
      <c r="A29" s="39">
        <f t="shared" si="0"/>
        <v>0</v>
      </c>
      <c r="B29" s="94" t="str">
        <f>+IF(Elaborazione!$AB$1="","",Elaborazione!$AB$1)</f>
        <v/>
      </c>
      <c r="C29" s="95"/>
      <c r="D29" s="96"/>
      <c r="E29" s="96"/>
      <c r="F29" s="96"/>
      <c r="G29" s="96"/>
      <c r="H29" s="96"/>
      <c r="I29" s="96"/>
      <c r="J29" s="96"/>
      <c r="K29" s="96"/>
      <c r="L29" s="96"/>
      <c r="M29" s="97"/>
      <c r="N29" s="98" t="str">
        <f t="shared" si="1"/>
        <v/>
      </c>
      <c r="O29" s="99" t="str">
        <f>IF(N29="","",IF(Input!$D$4="si",Input!D31,IF(Input!$F$4="si",Input!F31,IF(Input!$H$4="si",Input!H31,IF(Input!$J$4="si",Input!J31,Input!L31)))))</f>
        <v/>
      </c>
    </row>
    <row r="30" spans="1:17" ht="18" customHeight="1">
      <c r="A30">
        <v>1</v>
      </c>
      <c r="B30" s="83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6"/>
      <c r="N30" s="82"/>
      <c r="O30" s="82"/>
    </row>
    <row r="31" spans="1:17" ht="15" customHeight="1">
      <c r="A31">
        <v>1</v>
      </c>
      <c r="C31" s="44"/>
      <c r="D31" s="44"/>
      <c r="E31" s="48"/>
      <c r="F31" s="44"/>
      <c r="G31" s="44"/>
      <c r="H31" s="44"/>
      <c r="I31" s="44"/>
      <c r="J31" s="44"/>
      <c r="K31" s="44"/>
      <c r="L31" s="45"/>
      <c r="M31" s="107"/>
    </row>
    <row r="32" spans="1:17" ht="15.75" customHeight="1">
      <c r="A32">
        <v>1</v>
      </c>
      <c r="C32" s="51"/>
      <c r="D32" s="51"/>
      <c r="E32" s="49"/>
      <c r="F32" s="51"/>
      <c r="G32" s="51"/>
      <c r="H32" s="51"/>
      <c r="I32" s="51"/>
      <c r="J32" s="51"/>
      <c r="K32" s="51"/>
      <c r="L32" s="51"/>
      <c r="M32" s="108"/>
    </row>
    <row r="33" spans="1:17" ht="15.75" customHeight="1">
      <c r="A33">
        <v>1</v>
      </c>
      <c r="C33" s="44"/>
      <c r="D33" s="44"/>
      <c r="E33" s="49"/>
      <c r="F33" s="44"/>
      <c r="G33" s="44"/>
      <c r="H33" s="44"/>
      <c r="I33" s="44"/>
      <c r="J33" s="44"/>
      <c r="K33" s="44"/>
      <c r="L33" s="44"/>
      <c r="M33" s="107"/>
    </row>
    <row r="34" spans="1:17" ht="15" customHeight="1">
      <c r="A34">
        <v>1</v>
      </c>
      <c r="B34" s="62"/>
      <c r="C34" s="46"/>
      <c r="D34" s="46"/>
      <c r="E34" s="48"/>
      <c r="F34" s="46"/>
      <c r="G34" s="46"/>
      <c r="H34" s="46"/>
      <c r="I34" s="46"/>
      <c r="J34" s="46"/>
      <c r="K34" s="46"/>
      <c r="L34" s="46"/>
      <c r="M34" s="109"/>
    </row>
    <row r="35" spans="1:17">
      <c r="A35">
        <v>1</v>
      </c>
      <c r="B35" s="6"/>
      <c r="C35" s="114">
        <f t="shared" ref="C35:L35" si="2">SUM(C3:C20)</f>
        <v>0</v>
      </c>
      <c r="D35" s="114">
        <f t="shared" si="2"/>
        <v>0</v>
      </c>
      <c r="E35" s="114">
        <f t="shared" si="2"/>
        <v>0</v>
      </c>
      <c r="F35" s="114">
        <f t="shared" si="2"/>
        <v>0</v>
      </c>
      <c r="G35" s="114">
        <f t="shared" si="2"/>
        <v>0</v>
      </c>
      <c r="H35" s="114">
        <f t="shared" si="2"/>
        <v>0</v>
      </c>
      <c r="I35" s="114">
        <f t="shared" si="2"/>
        <v>0</v>
      </c>
      <c r="J35" s="114">
        <f t="shared" si="2"/>
        <v>0</v>
      </c>
      <c r="K35" s="114">
        <f t="shared" si="2"/>
        <v>0</v>
      </c>
      <c r="L35" s="114">
        <f t="shared" si="2"/>
        <v>0</v>
      </c>
      <c r="M35" s="114"/>
      <c r="O35" s="38"/>
    </row>
    <row r="36" spans="1:17" ht="15" customHeight="1">
      <c r="A36">
        <v>1</v>
      </c>
      <c r="B36" s="84" t="s">
        <v>22</v>
      </c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10"/>
      <c r="N36" s="12"/>
      <c r="O36" s="38"/>
    </row>
    <row r="37" spans="1:17" ht="15" customHeight="1">
      <c r="A37">
        <v>1</v>
      </c>
      <c r="B37" s="53" t="s">
        <v>23</v>
      </c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11"/>
      <c r="N37" s="12"/>
      <c r="O37" s="12"/>
    </row>
    <row r="38" spans="1:17" ht="14.25" customHeight="1">
      <c r="A38">
        <v>1</v>
      </c>
      <c r="B38" s="52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112"/>
      <c r="N38" s="12"/>
      <c r="O38" s="12"/>
      <c r="Q38" s="73"/>
    </row>
    <row r="39" spans="1:17" ht="15.75" hidden="1" customHeight="1">
      <c r="C39" s="49"/>
      <c r="D39" s="49"/>
      <c r="F39" s="49"/>
      <c r="G39" s="49"/>
      <c r="H39" s="49"/>
      <c r="I39" s="49"/>
      <c r="J39" s="49"/>
      <c r="K39" s="49"/>
      <c r="L39" s="49"/>
      <c r="M39" s="49"/>
      <c r="N39" s="16"/>
      <c r="O39" s="9"/>
      <c r="P39" s="9"/>
      <c r="Q39" s="9"/>
    </row>
    <row r="40" spans="1:17" ht="15.75" hidden="1" customHeight="1">
      <c r="C40" s="49"/>
      <c r="D40" s="49"/>
      <c r="F40" s="49"/>
      <c r="G40" s="49"/>
      <c r="H40" s="49"/>
      <c r="I40" s="49"/>
      <c r="J40" s="49"/>
      <c r="K40" s="49"/>
      <c r="L40" s="49"/>
      <c r="M40" s="49"/>
      <c r="N40" s="16"/>
      <c r="O40" s="9"/>
      <c r="P40" s="9"/>
      <c r="Q40" s="9"/>
    </row>
    <row r="41" spans="1:17" ht="15" hidden="1" customHeight="1">
      <c r="B41" s="6"/>
      <c r="C41" s="48"/>
      <c r="D41" s="48"/>
      <c r="F41" s="48"/>
      <c r="G41" s="48"/>
      <c r="H41" s="48"/>
      <c r="I41" s="48"/>
      <c r="J41" s="48"/>
      <c r="K41" s="48"/>
      <c r="L41" s="48"/>
      <c r="M41" s="48"/>
      <c r="N41" s="17"/>
      <c r="O41" s="9"/>
      <c r="P41" s="9"/>
      <c r="Q41" s="9"/>
    </row>
    <row r="42" spans="1:17" ht="15.75" hidden="1" customHeight="1">
      <c r="B42" s="6"/>
      <c r="C42" s="67"/>
      <c r="D42" s="49"/>
      <c r="F42" s="49"/>
      <c r="G42" s="49"/>
      <c r="H42" s="49"/>
      <c r="I42" s="49"/>
      <c r="J42" s="49"/>
      <c r="K42" s="49"/>
      <c r="L42" s="49"/>
      <c r="M42" s="67"/>
      <c r="N42" s="17"/>
      <c r="O42" s="9"/>
      <c r="P42" s="9"/>
      <c r="Q42" s="9"/>
    </row>
    <row r="43" spans="1:17" ht="15.75" hidden="1" customHeight="1">
      <c r="B43" s="6"/>
      <c r="C43" s="49"/>
      <c r="D43" s="49"/>
      <c r="F43" s="49"/>
      <c r="G43" s="49"/>
      <c r="H43" s="49"/>
      <c r="I43" s="49"/>
      <c r="J43" s="49"/>
      <c r="K43" s="49"/>
      <c r="L43" s="49"/>
      <c r="M43" s="49"/>
      <c r="N43" s="17"/>
      <c r="O43" s="9"/>
      <c r="P43" s="9"/>
      <c r="Q43" s="9"/>
    </row>
    <row r="44" spans="1:17" ht="15.75" hidden="1" customHeight="1">
      <c r="C44" s="49"/>
      <c r="D44" s="49"/>
      <c r="F44" s="49"/>
      <c r="G44" s="49"/>
      <c r="H44" s="49"/>
      <c r="I44" s="49"/>
      <c r="J44" s="49"/>
      <c r="K44" s="49"/>
      <c r="L44" s="49"/>
      <c r="M44" s="49"/>
      <c r="N44" s="17"/>
      <c r="O44" s="9"/>
      <c r="P44" s="9"/>
      <c r="Q44" s="9"/>
    </row>
    <row r="45" spans="1:17" hidden="1">
      <c r="C45" s="10"/>
      <c r="D45" s="10"/>
      <c r="F45" s="10"/>
      <c r="G45" s="10"/>
      <c r="H45" s="10"/>
      <c r="I45" s="10"/>
      <c r="J45" s="10"/>
      <c r="K45" s="10"/>
      <c r="L45" s="10"/>
      <c r="M45" s="10"/>
      <c r="N45" s="17"/>
      <c r="O45" s="9"/>
      <c r="P45" s="9"/>
      <c r="Q45" s="9"/>
    </row>
    <row r="46" spans="1:17" hidden="1">
      <c r="C46" s="10"/>
      <c r="D46" s="10"/>
      <c r="F46" s="10"/>
      <c r="G46" s="10"/>
      <c r="H46" s="10"/>
      <c r="I46" s="10"/>
      <c r="J46" s="10"/>
      <c r="K46" s="10"/>
      <c r="L46" s="10"/>
      <c r="M46" s="10"/>
      <c r="N46" s="17"/>
      <c r="O46" s="9"/>
      <c r="P46" s="9"/>
      <c r="Q46" s="9"/>
    </row>
    <row r="47" spans="1:17" hidden="1">
      <c r="C47" s="10"/>
      <c r="D47" s="10"/>
      <c r="F47" s="10"/>
      <c r="G47" s="10"/>
      <c r="H47" s="10"/>
      <c r="I47" s="10"/>
      <c r="J47" s="10"/>
      <c r="K47" s="10"/>
      <c r="L47" s="10"/>
      <c r="M47" s="9"/>
      <c r="N47" s="17"/>
      <c r="O47" s="9"/>
      <c r="P47" s="9"/>
      <c r="Q47" s="9"/>
    </row>
    <row r="48" spans="1:17" hidden="1">
      <c r="B48" s="6"/>
      <c r="C48" s="12"/>
      <c r="D48" s="12"/>
      <c r="F48" s="12"/>
      <c r="G48" s="12"/>
      <c r="H48" s="12"/>
      <c r="I48" s="12"/>
      <c r="J48" s="12"/>
      <c r="K48" s="12"/>
      <c r="L48" s="12"/>
      <c r="M48" s="12"/>
      <c r="N48" s="17"/>
      <c r="O48" s="9"/>
      <c r="P48" s="9"/>
      <c r="Q48" s="9"/>
    </row>
    <row r="49" spans="2:17" hidden="1">
      <c r="C49" s="12"/>
      <c r="D49" s="12"/>
      <c r="F49" s="12"/>
      <c r="G49" s="12"/>
      <c r="H49" s="12"/>
      <c r="I49" s="12"/>
      <c r="J49" s="12"/>
      <c r="K49" s="12"/>
      <c r="L49" s="12"/>
      <c r="M49" s="9"/>
      <c r="N49" s="17"/>
      <c r="O49" s="9"/>
      <c r="P49" s="9"/>
      <c r="Q49" s="9"/>
    </row>
    <row r="50" spans="2:17" hidden="1">
      <c r="C50" s="12"/>
      <c r="D50" s="12"/>
      <c r="F50" s="12"/>
      <c r="G50" s="12"/>
      <c r="H50" s="12"/>
      <c r="I50" s="12"/>
      <c r="J50" s="12"/>
      <c r="K50" s="12"/>
      <c r="L50" s="12"/>
      <c r="M50" s="12"/>
      <c r="N50" s="17"/>
      <c r="O50" s="9"/>
      <c r="P50" s="9"/>
      <c r="Q50" s="9"/>
    </row>
    <row r="51" spans="2:17" hidden="1">
      <c r="C51" s="12"/>
      <c r="D51" s="12"/>
      <c r="F51" s="12"/>
      <c r="G51" s="12"/>
      <c r="H51" s="12"/>
      <c r="I51" s="12"/>
      <c r="J51" s="12"/>
      <c r="K51" s="12"/>
      <c r="L51" s="12"/>
      <c r="M51" s="12"/>
      <c r="N51" s="17"/>
      <c r="O51" s="9"/>
      <c r="P51" s="9"/>
      <c r="Q51" s="9"/>
    </row>
    <row r="52" spans="2:17" hidden="1">
      <c r="C52" s="12"/>
      <c r="D52" s="12"/>
      <c r="F52" s="12"/>
      <c r="G52" s="12"/>
      <c r="H52" s="12"/>
      <c r="I52" s="12"/>
      <c r="J52" s="12"/>
      <c r="K52" s="12"/>
      <c r="L52" s="12"/>
      <c r="M52" s="12"/>
      <c r="N52" s="9"/>
      <c r="O52" s="9"/>
      <c r="P52" s="9"/>
      <c r="Q52" s="9"/>
    </row>
    <row r="53" spans="2:17" hidden="1">
      <c r="M53" s="9"/>
      <c r="N53" s="9"/>
      <c r="O53" s="9"/>
      <c r="P53" s="9"/>
      <c r="Q53" s="9"/>
    </row>
    <row r="54" spans="2:17" hidden="1">
      <c r="B54" s="13"/>
      <c r="C54" s="22"/>
      <c r="D54" s="22"/>
      <c r="F54" s="22"/>
      <c r="G54" s="22"/>
      <c r="H54" s="22"/>
      <c r="I54" s="22"/>
      <c r="J54" s="22"/>
      <c r="K54" s="22"/>
      <c r="L54" s="22"/>
      <c r="M54" s="22"/>
      <c r="N54" s="9"/>
      <c r="O54" s="9"/>
      <c r="P54" s="9"/>
      <c r="Q54" s="9"/>
    </row>
    <row r="55" spans="2:17" hidden="1">
      <c r="B55" s="13"/>
      <c r="C55" s="22"/>
      <c r="D55" s="22"/>
      <c r="F55" s="22"/>
      <c r="G55" s="22"/>
      <c r="H55" s="22"/>
      <c r="I55" s="22"/>
      <c r="J55" s="22"/>
      <c r="K55" s="22"/>
      <c r="L55" s="22"/>
      <c r="M55" s="22"/>
      <c r="N55" s="9"/>
      <c r="O55" s="9"/>
      <c r="P55" s="9"/>
      <c r="Q55" s="9"/>
    </row>
    <row r="56" spans="2:17" hidden="1">
      <c r="B56" s="13"/>
      <c r="C56" s="22"/>
      <c r="D56" s="22"/>
      <c r="F56" s="22"/>
      <c r="G56" s="22"/>
      <c r="H56" s="22"/>
      <c r="I56" s="22"/>
      <c r="J56" s="22"/>
      <c r="K56" s="22"/>
      <c r="L56" s="22"/>
      <c r="M56" s="22"/>
      <c r="N56" s="9"/>
      <c r="O56" s="9"/>
      <c r="P56" s="9"/>
      <c r="Q56" s="9"/>
    </row>
    <row r="57" spans="2:17" hidden="1">
      <c r="B57" s="13"/>
      <c r="C57" s="22"/>
      <c r="D57" s="22"/>
      <c r="F57" s="22"/>
      <c r="G57" s="22"/>
      <c r="H57" s="22"/>
      <c r="I57" s="22"/>
      <c r="J57" s="22"/>
      <c r="K57" s="22"/>
      <c r="L57" s="22"/>
      <c r="M57" s="22"/>
      <c r="N57" s="9"/>
      <c r="O57" s="9"/>
      <c r="P57" s="9"/>
      <c r="Q57" s="9"/>
    </row>
    <row r="58" spans="2:17" hidden="1">
      <c r="B58" s="13"/>
      <c r="C58" s="22"/>
      <c r="D58" s="22"/>
      <c r="F58" s="22"/>
      <c r="G58" s="22"/>
      <c r="H58" s="22"/>
      <c r="I58" s="22"/>
      <c r="J58" s="22"/>
      <c r="K58" s="22"/>
      <c r="L58" s="22"/>
      <c r="M58" s="22"/>
      <c r="N58" s="9"/>
      <c r="O58" s="9"/>
      <c r="P58" s="9"/>
      <c r="Q58" s="9"/>
    </row>
    <row r="59" spans="2:17" s="6" customFormat="1" hidden="1">
      <c r="B59" s="13"/>
      <c r="C59" s="22"/>
      <c r="D59" s="22"/>
      <c r="F59" s="22"/>
      <c r="G59" s="22"/>
      <c r="H59" s="22"/>
      <c r="I59" s="22"/>
      <c r="J59" s="22"/>
      <c r="K59" s="22"/>
      <c r="L59" s="22"/>
      <c r="M59" s="22"/>
      <c r="N59" s="20"/>
      <c r="O59" s="20"/>
      <c r="P59" s="20"/>
      <c r="Q59" s="20"/>
    </row>
    <row r="60" spans="2:17" hidden="1">
      <c r="B60" s="13"/>
      <c r="C60" s="22"/>
      <c r="D60" s="22"/>
      <c r="F60" s="22"/>
      <c r="G60" s="22"/>
      <c r="H60" s="22"/>
      <c r="I60" s="22"/>
      <c r="J60" s="22"/>
      <c r="K60" s="22"/>
      <c r="L60" s="22"/>
      <c r="M60" s="22"/>
      <c r="N60" s="9"/>
      <c r="O60" s="9"/>
      <c r="P60" s="9"/>
      <c r="Q60" s="9"/>
    </row>
    <row r="61" spans="2:17" hidden="1">
      <c r="B61" s="13"/>
      <c r="C61" s="22"/>
      <c r="D61" s="22"/>
      <c r="F61" s="22"/>
      <c r="G61" s="22"/>
      <c r="H61" s="22"/>
      <c r="I61" s="22"/>
      <c r="J61" s="22"/>
      <c r="K61" s="22"/>
      <c r="L61" s="22"/>
      <c r="M61" s="22"/>
      <c r="N61" s="9"/>
      <c r="O61" s="9"/>
      <c r="P61" s="9"/>
      <c r="Q61" s="9"/>
    </row>
    <row r="62" spans="2:17" hidden="1">
      <c r="B62" s="13"/>
      <c r="C62" s="22"/>
      <c r="D62" s="22"/>
      <c r="F62" s="22"/>
      <c r="G62" s="22"/>
      <c r="H62" s="22"/>
      <c r="I62" s="22"/>
      <c r="J62" s="22"/>
      <c r="K62" s="22"/>
      <c r="L62" s="22"/>
      <c r="M62" s="22"/>
      <c r="N62" s="9"/>
      <c r="O62" s="9"/>
      <c r="P62" s="9"/>
      <c r="Q62" s="9"/>
    </row>
    <row r="63" spans="2:17" hidden="1">
      <c r="B63" s="13"/>
      <c r="C63" s="22"/>
      <c r="D63" s="22"/>
      <c r="F63" s="22"/>
      <c r="G63" s="22"/>
      <c r="H63" s="22"/>
      <c r="I63" s="22"/>
      <c r="J63" s="22"/>
      <c r="K63" s="22"/>
      <c r="L63" s="22"/>
      <c r="M63" s="22"/>
      <c r="N63" s="9"/>
      <c r="O63" s="9"/>
      <c r="P63" s="9"/>
      <c r="Q63" s="9"/>
    </row>
    <row r="64" spans="2:17" s="6" customFormat="1" hidden="1">
      <c r="B64" s="13"/>
      <c r="C64" s="22"/>
      <c r="D64" s="22"/>
      <c r="F64" s="22"/>
      <c r="G64" s="22"/>
      <c r="H64" s="22"/>
      <c r="I64" s="22"/>
      <c r="J64" s="22"/>
      <c r="K64" s="22"/>
      <c r="L64" s="22"/>
      <c r="M64" s="22"/>
      <c r="N64" s="20"/>
      <c r="O64" s="20"/>
      <c r="P64" s="20"/>
      <c r="Q64" s="20"/>
    </row>
    <row r="65" spans="2:17" hidden="1">
      <c r="B65" s="13"/>
      <c r="C65" s="22"/>
      <c r="D65" s="22"/>
      <c r="F65" s="22"/>
      <c r="G65" s="22"/>
      <c r="H65" s="22"/>
      <c r="I65" s="22"/>
      <c r="J65" s="22"/>
      <c r="K65" s="22"/>
      <c r="L65" s="22"/>
      <c r="M65" s="22"/>
      <c r="N65" s="16"/>
      <c r="O65" s="9"/>
      <c r="P65" s="9"/>
      <c r="Q65" s="9"/>
    </row>
    <row r="66" spans="2:17" hidden="1">
      <c r="B66" s="13"/>
      <c r="C66" s="22"/>
      <c r="D66" s="22"/>
      <c r="F66" s="22"/>
      <c r="G66" s="22"/>
      <c r="H66" s="22"/>
      <c r="I66" s="22"/>
      <c r="J66" s="22"/>
      <c r="K66" s="22"/>
      <c r="L66" s="22"/>
      <c r="M66" s="22"/>
      <c r="N66" s="16"/>
    </row>
    <row r="67" spans="2:17" s="6" customFormat="1" hidden="1">
      <c r="B67" s="13"/>
      <c r="C67" s="22"/>
      <c r="D67" s="22"/>
      <c r="F67" s="22"/>
      <c r="G67" s="22"/>
      <c r="H67" s="22"/>
      <c r="I67" s="22"/>
      <c r="J67" s="22"/>
      <c r="K67" s="22"/>
      <c r="L67" s="22"/>
      <c r="M67" s="22"/>
      <c r="N67" s="21"/>
    </row>
    <row r="68" spans="2:17" hidden="1">
      <c r="B68" s="13"/>
      <c r="C68" s="7"/>
      <c r="D68" s="7"/>
      <c r="F68" s="7"/>
      <c r="G68" s="7"/>
      <c r="H68" s="7"/>
      <c r="I68" s="7"/>
      <c r="J68" s="7"/>
      <c r="K68" s="7"/>
      <c r="L68" s="7"/>
      <c r="M68" s="13"/>
      <c r="N68" s="17"/>
    </row>
    <row r="69" spans="2:17" hidden="1">
      <c r="C69" s="10"/>
      <c r="D69" s="10"/>
      <c r="F69" s="10"/>
      <c r="G69" s="10"/>
      <c r="H69" s="10"/>
      <c r="I69" s="10"/>
      <c r="J69" s="10"/>
      <c r="K69" s="10"/>
      <c r="L69" s="10"/>
      <c r="M69" s="10"/>
      <c r="N69" s="17"/>
      <c r="O69" s="2"/>
      <c r="P69" s="2"/>
      <c r="Q69" s="2"/>
    </row>
    <row r="70" spans="2:17" hidden="1">
      <c r="C70" s="10"/>
      <c r="D70" s="10"/>
      <c r="F70" s="10"/>
      <c r="G70" s="10"/>
      <c r="H70" s="10"/>
      <c r="I70" s="10"/>
      <c r="J70" s="10"/>
      <c r="K70" s="10"/>
      <c r="L70" s="10"/>
      <c r="M70" s="11"/>
      <c r="N70" s="17"/>
      <c r="O70" s="11"/>
      <c r="P70" s="11"/>
      <c r="Q70" s="11"/>
    </row>
    <row r="71" spans="2:17" hidden="1">
      <c r="C71" s="10"/>
      <c r="D71" s="10"/>
      <c r="F71" s="10"/>
      <c r="G71" s="10"/>
      <c r="H71" s="10"/>
      <c r="I71" s="10"/>
      <c r="J71" s="10"/>
      <c r="K71" s="10"/>
      <c r="L71" s="10"/>
      <c r="M71" s="11"/>
      <c r="N71" s="17"/>
      <c r="O71" s="11"/>
      <c r="P71" s="11"/>
      <c r="Q71" s="11"/>
    </row>
    <row r="72" spans="2:17" hidden="1">
      <c r="C72" s="10"/>
      <c r="D72" s="10"/>
      <c r="F72" s="10"/>
      <c r="G72" s="10"/>
      <c r="H72" s="10"/>
      <c r="I72" s="10"/>
      <c r="J72" s="10"/>
      <c r="K72" s="10"/>
      <c r="L72" s="10"/>
      <c r="M72" s="11"/>
      <c r="N72" s="17"/>
      <c r="O72" s="11"/>
      <c r="P72" s="11"/>
      <c r="Q72" s="11"/>
    </row>
    <row r="73" spans="2:17" hidden="1">
      <c r="C73" s="10"/>
      <c r="D73" s="10"/>
      <c r="F73" s="10"/>
      <c r="G73" s="10"/>
      <c r="H73" s="10"/>
      <c r="I73" s="10"/>
      <c r="J73" s="10"/>
      <c r="K73" s="10"/>
      <c r="L73" s="10"/>
      <c r="M73" s="11"/>
      <c r="N73" s="17"/>
      <c r="O73" s="11"/>
      <c r="P73" s="11"/>
      <c r="Q73" s="11"/>
    </row>
    <row r="74" spans="2:17" hidden="1">
      <c r="C74" s="10"/>
      <c r="D74" s="10"/>
      <c r="F74" s="10"/>
      <c r="G74" s="10"/>
      <c r="H74" s="10"/>
      <c r="I74" s="10"/>
      <c r="J74" s="10"/>
      <c r="K74" s="10"/>
      <c r="L74" s="10"/>
      <c r="M74" s="11"/>
      <c r="N74" s="17"/>
      <c r="O74" s="11"/>
      <c r="P74" s="11"/>
      <c r="Q74" s="11"/>
    </row>
    <row r="75" spans="2:17" hidden="1">
      <c r="C75" s="10"/>
      <c r="D75" s="10"/>
      <c r="F75" s="10"/>
      <c r="G75" s="10"/>
      <c r="H75" s="10"/>
      <c r="I75" s="10"/>
      <c r="J75" s="10"/>
      <c r="K75" s="10"/>
      <c r="L75" s="10"/>
      <c r="M75" s="11"/>
      <c r="N75" s="17"/>
      <c r="O75" s="11"/>
      <c r="P75" s="11"/>
      <c r="Q75" s="11"/>
    </row>
    <row r="76" spans="2:17" hidden="1">
      <c r="C76" s="10"/>
      <c r="D76" s="10"/>
      <c r="F76" s="10"/>
      <c r="G76" s="10"/>
      <c r="H76" s="10"/>
      <c r="I76" s="10"/>
      <c r="J76" s="10"/>
      <c r="K76" s="10"/>
      <c r="L76" s="10"/>
      <c r="M76" s="11"/>
      <c r="N76" s="17"/>
      <c r="O76" s="11"/>
      <c r="P76" s="11"/>
      <c r="Q76" s="11"/>
    </row>
    <row r="77" spans="2:17" hidden="1">
      <c r="C77" s="10"/>
      <c r="D77" s="10"/>
      <c r="F77" s="10"/>
      <c r="G77" s="10"/>
      <c r="H77" s="10"/>
      <c r="I77" s="10"/>
      <c r="J77" s="10"/>
      <c r="K77" s="10"/>
      <c r="L77" s="10"/>
      <c r="M77" s="11"/>
      <c r="N77" s="17"/>
      <c r="O77" s="11"/>
      <c r="P77" s="11"/>
      <c r="Q77" s="11"/>
    </row>
    <row r="78" spans="2:17" hidden="1">
      <c r="C78" s="10"/>
      <c r="D78" s="10"/>
      <c r="F78" s="10"/>
      <c r="G78" s="10"/>
      <c r="H78" s="10"/>
      <c r="I78" s="10"/>
      <c r="J78" s="10"/>
      <c r="K78" s="10"/>
      <c r="L78" s="10"/>
      <c r="M78" s="11"/>
      <c r="N78" s="17"/>
      <c r="O78" s="11"/>
      <c r="P78" s="11"/>
      <c r="Q78" s="11"/>
    </row>
    <row r="79" spans="2:17" hidden="1">
      <c r="C79" s="10"/>
      <c r="D79" s="10"/>
      <c r="F79" s="10"/>
      <c r="G79" s="10"/>
      <c r="H79" s="10"/>
      <c r="I79" s="10"/>
      <c r="J79" s="10"/>
      <c r="K79" s="10"/>
      <c r="L79" s="10"/>
      <c r="M79" s="11"/>
      <c r="N79" s="17"/>
      <c r="O79" s="11"/>
      <c r="P79" s="11"/>
      <c r="Q79" s="11"/>
    </row>
    <row r="80" spans="2:17" hidden="1">
      <c r="C80" s="10"/>
      <c r="D80" s="10"/>
      <c r="F80" s="10"/>
      <c r="G80" s="10"/>
      <c r="H80" s="10"/>
      <c r="I80" s="10"/>
      <c r="J80" s="10"/>
      <c r="K80" s="10"/>
      <c r="L80" s="10"/>
      <c r="M80" s="11"/>
      <c r="N80" s="11"/>
      <c r="O80" s="11"/>
      <c r="P80" s="11"/>
      <c r="Q80" s="11"/>
    </row>
    <row r="81" spans="3:17" hidden="1">
      <c r="C81" s="10"/>
      <c r="D81" s="10"/>
      <c r="F81" s="10"/>
      <c r="G81" s="10"/>
      <c r="H81" s="10"/>
      <c r="I81" s="10"/>
      <c r="J81" s="10"/>
      <c r="K81" s="10"/>
      <c r="L81" s="10"/>
      <c r="M81" s="11"/>
      <c r="N81" s="11"/>
      <c r="O81" s="11"/>
      <c r="P81" s="11"/>
      <c r="Q81" s="11"/>
    </row>
    <row r="82" spans="3:17" hidden="1">
      <c r="C82" s="8"/>
      <c r="D82" s="8"/>
      <c r="F82" s="8"/>
      <c r="G82" s="8"/>
      <c r="H82" s="8"/>
      <c r="I82" s="8"/>
      <c r="J82" s="8"/>
      <c r="K82" s="8"/>
      <c r="L82" s="8"/>
      <c r="M82" s="11"/>
      <c r="N82" s="11"/>
      <c r="O82" s="11"/>
      <c r="P82" s="11"/>
      <c r="Q82" s="11"/>
    </row>
    <row r="83" spans="3:17" hidden="1">
      <c r="C83" s="12"/>
      <c r="D83" s="12"/>
      <c r="F83" s="12"/>
      <c r="G83" s="12"/>
      <c r="H83" s="12"/>
      <c r="I83" s="12"/>
      <c r="J83" s="12"/>
      <c r="K83" s="12"/>
      <c r="L83" s="12"/>
      <c r="M83" s="11"/>
      <c r="N83" s="11"/>
      <c r="O83" s="11"/>
      <c r="P83" s="11"/>
      <c r="Q83" s="11"/>
    </row>
    <row r="84" spans="3:17" hidden="1">
      <c r="C84" s="12"/>
      <c r="D84" s="12"/>
      <c r="F84" s="12"/>
      <c r="G84" s="12"/>
      <c r="H84" s="12"/>
      <c r="I84" s="12"/>
      <c r="J84" s="12"/>
      <c r="K84" s="12"/>
      <c r="L84" s="12"/>
      <c r="M84" s="11"/>
      <c r="N84" s="11"/>
      <c r="O84" s="11"/>
      <c r="P84" s="11"/>
      <c r="Q84" s="11"/>
    </row>
    <row r="85" spans="3:17" hidden="1">
      <c r="C85" s="12"/>
      <c r="D85" s="12"/>
      <c r="F85" s="12"/>
      <c r="G85" s="12"/>
      <c r="H85" s="12"/>
      <c r="I85" s="12"/>
      <c r="J85" s="12"/>
      <c r="K85" s="12"/>
      <c r="L85" s="12"/>
      <c r="M85" s="11"/>
      <c r="N85" s="11"/>
      <c r="O85" s="11"/>
      <c r="P85" s="11"/>
      <c r="Q85" s="11"/>
    </row>
    <row r="86" spans="3:17" hidden="1">
      <c r="C86" s="12"/>
      <c r="D86" s="12"/>
      <c r="F86" s="12"/>
      <c r="G86" s="12"/>
      <c r="H86" s="12"/>
      <c r="I86" s="12"/>
      <c r="J86" s="12"/>
      <c r="K86" s="12"/>
      <c r="L86" s="12"/>
      <c r="M86" s="11"/>
      <c r="N86" s="11"/>
      <c r="O86" s="11"/>
      <c r="P86" s="11"/>
      <c r="Q86" s="11"/>
    </row>
    <row r="87" spans="3:17" hidden="1">
      <c r="C87" s="12"/>
      <c r="D87" s="12"/>
      <c r="F87" s="12"/>
      <c r="G87" s="12"/>
      <c r="H87" s="12"/>
      <c r="I87" s="12"/>
      <c r="J87" s="12"/>
      <c r="K87" s="12"/>
      <c r="L87" s="12"/>
      <c r="M87" s="11"/>
      <c r="N87" s="11"/>
      <c r="O87" s="11"/>
      <c r="P87" s="11"/>
      <c r="Q87" s="11"/>
    </row>
    <row r="88" spans="3:17" hidden="1">
      <c r="C88" s="12"/>
      <c r="D88" s="12"/>
      <c r="F88" s="12"/>
      <c r="G88" s="12"/>
      <c r="H88" s="12"/>
      <c r="I88" s="12"/>
      <c r="J88" s="12"/>
      <c r="K88" s="12"/>
      <c r="L88" s="12"/>
      <c r="M88" s="11"/>
      <c r="N88" s="11"/>
      <c r="O88" s="11"/>
      <c r="P88" s="11"/>
      <c r="Q88" s="11"/>
    </row>
    <row r="89" spans="3:17" hidden="1">
      <c r="D89" s="2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</row>
    <row r="90" spans="3:17" hidden="1">
      <c r="D90" s="2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</row>
    <row r="91" spans="3:17" hidden="1">
      <c r="C91" s="12"/>
      <c r="D91" s="12"/>
      <c r="F91" s="12"/>
      <c r="G91" s="12"/>
      <c r="H91" s="12"/>
      <c r="I91" s="12"/>
      <c r="J91" s="12"/>
      <c r="K91" s="12"/>
      <c r="L91" s="12"/>
      <c r="M91" s="11"/>
      <c r="N91" s="11"/>
      <c r="O91" s="11"/>
      <c r="P91" s="11"/>
      <c r="Q91" s="11"/>
    </row>
    <row r="92" spans="3:17" hidden="1">
      <c r="C92" s="12"/>
      <c r="D92" s="12"/>
      <c r="F92" s="12"/>
      <c r="G92" s="12"/>
      <c r="H92" s="12"/>
      <c r="I92" s="12"/>
      <c r="J92" s="12"/>
      <c r="K92" s="12"/>
      <c r="L92" s="12"/>
      <c r="M92" s="11"/>
      <c r="N92" s="11"/>
      <c r="O92" s="11"/>
      <c r="P92" s="11"/>
      <c r="Q92" s="11"/>
    </row>
    <row r="93" spans="3:17" hidden="1">
      <c r="C93" s="12"/>
      <c r="D93" s="12"/>
      <c r="F93" s="12"/>
      <c r="G93" s="12"/>
      <c r="H93" s="12"/>
      <c r="I93" s="12"/>
      <c r="J93" s="12"/>
      <c r="K93" s="12"/>
      <c r="L93" s="12"/>
      <c r="M93" s="11"/>
      <c r="N93" s="11"/>
      <c r="O93" s="11"/>
      <c r="P93" s="11"/>
      <c r="Q93" s="11"/>
    </row>
    <row r="94" spans="3:17" hidden="1">
      <c r="C94" s="12"/>
      <c r="D94" s="12"/>
      <c r="F94" s="12"/>
      <c r="G94" s="12"/>
      <c r="H94" s="12"/>
      <c r="I94" s="12"/>
      <c r="J94" s="12"/>
      <c r="K94" s="12"/>
      <c r="L94" s="12"/>
      <c r="M94" s="11"/>
      <c r="N94" s="11"/>
      <c r="O94" s="11"/>
      <c r="P94" s="11"/>
      <c r="Q94" s="11"/>
    </row>
    <row r="95" spans="3:17" hidden="1">
      <c r="C95" s="12"/>
      <c r="D95" s="12"/>
      <c r="F95" s="12"/>
      <c r="G95" s="12"/>
      <c r="H95" s="12"/>
      <c r="I95" s="12"/>
      <c r="J95" s="12"/>
      <c r="K95" s="12"/>
      <c r="L95" s="12"/>
      <c r="M95" s="11"/>
      <c r="N95" s="11"/>
      <c r="O95" s="11"/>
      <c r="P95" s="11"/>
      <c r="Q95" s="11"/>
    </row>
    <row r="96" spans="3:17" hidden="1">
      <c r="C96" s="12"/>
      <c r="D96" s="12"/>
      <c r="F96" s="12"/>
      <c r="G96" s="12"/>
      <c r="H96" s="12"/>
      <c r="I96" s="12"/>
      <c r="J96" s="12"/>
      <c r="K96" s="12"/>
      <c r="L96" s="12"/>
      <c r="M96" s="11"/>
      <c r="N96" s="11"/>
      <c r="O96" s="11"/>
      <c r="P96" s="11"/>
      <c r="Q96" s="11"/>
    </row>
    <row r="97" spans="3:17" hidden="1">
      <c r="C97" s="12"/>
      <c r="D97" s="12"/>
      <c r="F97" s="12"/>
      <c r="G97" s="12"/>
      <c r="H97" s="12"/>
      <c r="I97" s="12"/>
      <c r="J97" s="12"/>
      <c r="K97" s="12"/>
      <c r="L97" s="12"/>
      <c r="M97" s="11"/>
      <c r="N97" s="11"/>
      <c r="O97" s="11"/>
      <c r="P97" s="11"/>
      <c r="Q97" s="11"/>
    </row>
    <row r="98" spans="3:17" hidden="1">
      <c r="C98" s="12"/>
      <c r="D98" s="12"/>
      <c r="F98" s="12"/>
      <c r="G98" s="12"/>
      <c r="H98" s="12"/>
      <c r="I98" s="12"/>
      <c r="J98" s="12"/>
      <c r="K98" s="12"/>
      <c r="L98" s="12"/>
      <c r="M98" s="11"/>
      <c r="N98" s="11"/>
      <c r="O98" s="11"/>
      <c r="P98" s="11"/>
      <c r="Q98" s="11"/>
    </row>
    <row r="99" spans="3:17" hidden="1">
      <c r="C99" s="13"/>
      <c r="D99" s="13"/>
      <c r="F99" s="13"/>
      <c r="G99" s="13"/>
      <c r="H99" s="13"/>
      <c r="I99" s="13"/>
      <c r="J99" s="13"/>
      <c r="K99" s="13"/>
      <c r="L99" s="13"/>
      <c r="M99" s="11"/>
      <c r="N99" s="11"/>
      <c r="O99" s="11"/>
      <c r="P99" s="11"/>
      <c r="Q99" s="11"/>
    </row>
    <row r="100" spans="3:17" hidden="1">
      <c r="C100" s="12"/>
      <c r="D100" s="12"/>
      <c r="F100" s="12"/>
      <c r="G100" s="12"/>
      <c r="H100" s="12"/>
      <c r="I100" s="12"/>
      <c r="J100" s="12"/>
      <c r="K100" s="12"/>
      <c r="L100" s="12"/>
      <c r="M100" s="11"/>
      <c r="N100" s="11"/>
      <c r="O100" s="11"/>
      <c r="P100" s="11"/>
      <c r="Q100" s="11"/>
    </row>
    <row r="101" spans="3:17" hidden="1">
      <c r="C101" s="13"/>
      <c r="D101" s="14"/>
      <c r="F101" s="15"/>
      <c r="G101" s="15"/>
      <c r="H101" s="15"/>
      <c r="I101" s="15"/>
      <c r="J101" s="15"/>
      <c r="K101" s="15"/>
      <c r="L101" s="15"/>
      <c r="M101" s="11"/>
      <c r="N101" s="11"/>
      <c r="O101" s="11"/>
      <c r="P101" s="11"/>
      <c r="Q101" s="11"/>
    </row>
    <row r="102" spans="3:17" hidden="1">
      <c r="D102" s="2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</row>
    <row r="103" spans="3:17" hidden="1">
      <c r="D103" s="2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</row>
    <row r="104" spans="3:17" hidden="1">
      <c r="D104" s="2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</row>
    <row r="105" spans="3:17" hidden="1">
      <c r="D105" s="2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</row>
    <row r="106" spans="3:17" hidden="1">
      <c r="D106" s="2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</row>
    <row r="107" spans="3:17" hidden="1">
      <c r="D107" s="2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</row>
    <row r="108" spans="3:17" hidden="1">
      <c r="D108" s="2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</row>
    <row r="109" spans="3:17" hidden="1">
      <c r="D109" s="2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</row>
    <row r="110" spans="3:17" hidden="1">
      <c r="D110" s="2"/>
      <c r="F110" s="11"/>
      <c r="G110" s="11"/>
      <c r="H110" s="11"/>
      <c r="I110" s="11"/>
      <c r="J110" s="11"/>
      <c r="K110" s="11"/>
      <c r="L110" s="11"/>
      <c r="M110" s="11"/>
      <c r="N110" s="11"/>
      <c r="O110" s="11"/>
    </row>
    <row r="111" spans="3:17" hidden="1">
      <c r="D111" s="2"/>
      <c r="F111" s="11"/>
      <c r="G111" s="11"/>
      <c r="H111" s="11"/>
      <c r="I111" s="11"/>
      <c r="J111" s="11"/>
      <c r="K111" s="11"/>
      <c r="L111" s="11"/>
      <c r="M111" s="11"/>
      <c r="N111" s="11"/>
      <c r="O111" s="11"/>
    </row>
    <row r="112" spans="3:17" hidden="1">
      <c r="F112" s="3"/>
      <c r="G112" s="3"/>
      <c r="H112" s="3"/>
      <c r="I112" s="3"/>
      <c r="J112" s="3"/>
      <c r="K112" s="3"/>
      <c r="L112" s="3"/>
      <c r="M112" s="3"/>
      <c r="N112" s="3"/>
    </row>
    <row r="113" spans="6:17" hidden="1"/>
    <row r="114" spans="6:17" hidden="1"/>
    <row r="115" spans="6:17" hidden="1"/>
    <row r="116" spans="6:17" hidden="1"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</row>
    <row r="117" spans="6:17" hidden="1"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</row>
    <row r="118" spans="6:17" hidden="1"/>
    <row r="119" spans="6:17" hidden="1"/>
    <row r="120" spans="6:17" hidden="1"/>
    <row r="121" spans="6:17" hidden="1"/>
    <row r="122" spans="6:17" hidden="1"/>
    <row r="123" spans="6:17" hidden="1"/>
    <row r="124" spans="6:17" hidden="1"/>
    <row r="125" spans="6:17" hidden="1"/>
    <row r="126" spans="6:17" hidden="1"/>
    <row r="127" spans="6:17" hidden="1"/>
    <row r="128" spans="6:17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65282" spans="5:5" ht="13.5" customHeight="1" thickBot="1">
      <c r="E65282" s="39"/>
    </row>
    <row r="65283" spans="5:5">
      <c r="E65283" s="5"/>
    </row>
    <row r="65284" spans="5:5" ht="15" customHeight="1">
      <c r="E65284" s="40"/>
    </row>
    <row r="65285" spans="5:5" ht="15" customHeight="1">
      <c r="E65285" s="40"/>
    </row>
    <row r="65286" spans="5:5" ht="15" customHeight="1">
      <c r="E65286" s="40"/>
    </row>
    <row r="65287" spans="5:5" ht="15" customHeight="1">
      <c r="E65287" s="40"/>
    </row>
    <row r="65288" spans="5:5" ht="15" customHeight="1">
      <c r="E65288" s="40"/>
    </row>
    <row r="65289" spans="5:5" ht="15" customHeight="1">
      <c r="E65289" s="40"/>
    </row>
    <row r="65290" spans="5:5" ht="15" customHeight="1">
      <c r="E65290" s="40"/>
    </row>
    <row r="65291" spans="5:5" ht="15" customHeight="1">
      <c r="E65291" s="40"/>
    </row>
    <row r="65292" spans="5:5" ht="15" customHeight="1">
      <c r="E65292" s="40"/>
    </row>
    <row r="65293" spans="5:5" ht="15" customHeight="1">
      <c r="E65293" s="40"/>
    </row>
    <row r="65294" spans="5:5" ht="15" customHeight="1">
      <c r="E65294" s="40"/>
    </row>
    <row r="65295" spans="5:5" ht="15" customHeight="1">
      <c r="E65295" s="40"/>
    </row>
    <row r="65296" spans="5:5" ht="15" customHeight="1">
      <c r="E65296" s="40"/>
    </row>
    <row r="65297" spans="5:5" ht="15" customHeight="1">
      <c r="E65297" s="40"/>
    </row>
    <row r="65298" spans="5:5" ht="15" customHeight="1">
      <c r="E65298" s="40"/>
    </row>
    <row r="65299" spans="5:5" ht="15" customHeight="1">
      <c r="E65299" s="40"/>
    </row>
    <row r="65300" spans="5:5" ht="15" customHeight="1">
      <c r="E65300" s="40"/>
    </row>
    <row r="65301" spans="5:5" ht="15" customHeight="1">
      <c r="E65301" s="40"/>
    </row>
    <row r="65302" spans="5:5" ht="15" customHeight="1">
      <c r="E65302" s="40"/>
    </row>
    <row r="65303" spans="5:5" ht="15" customHeight="1">
      <c r="E65303" s="40"/>
    </row>
    <row r="65304" spans="5:5" ht="15" customHeight="1">
      <c r="E65304" s="40"/>
    </row>
    <row r="65305" spans="5:5" ht="15" customHeight="1">
      <c r="E65305" s="40"/>
    </row>
    <row r="65306" spans="5:5" ht="15" customHeight="1">
      <c r="E65306" s="40"/>
    </row>
    <row r="65307" spans="5:5" ht="15.75" customHeight="1" thickBot="1">
      <c r="E65307" s="40"/>
    </row>
    <row r="65308" spans="5:5" ht="18" customHeight="1">
      <c r="E65308" s="50"/>
    </row>
    <row r="65309" spans="5:5">
      <c r="E65309" s="44"/>
    </row>
    <row r="65310" spans="5:5">
      <c r="E65310" s="51"/>
    </row>
    <row r="65311" spans="5:5">
      <c r="E65311" s="44"/>
    </row>
    <row r="65312" spans="5:5">
      <c r="E65312" s="46"/>
    </row>
    <row r="65313" spans="5:5">
      <c r="E65313" s="47"/>
    </row>
    <row r="65314" spans="5:5" ht="15" customHeight="1">
      <c r="E65314" s="48"/>
    </row>
    <row r="65315" spans="5:5" ht="15" customHeight="1">
      <c r="E65315" s="48"/>
    </row>
    <row r="65316" spans="5:5" ht="15.75" customHeight="1">
      <c r="E65316" s="49"/>
    </row>
    <row r="65317" spans="5:5" ht="15.75" customHeight="1">
      <c r="E65317" s="49"/>
    </row>
    <row r="65318" spans="5:5" ht="15" customHeight="1">
      <c r="E65318" s="48"/>
    </row>
    <row r="65319" spans="5:5" ht="15.75" customHeight="1">
      <c r="E65319" s="49"/>
    </row>
    <row r="65320" spans="5:5" ht="15.75" customHeight="1">
      <c r="E65320" s="49"/>
    </row>
    <row r="65321" spans="5:5" ht="15.75" customHeight="1">
      <c r="E65321" s="49"/>
    </row>
    <row r="65322" spans="5:5">
      <c r="E65322" s="12"/>
    </row>
    <row r="65323" spans="5:5">
      <c r="E65323" s="8"/>
    </row>
    <row r="65324" spans="5:5">
      <c r="E65324" s="12"/>
    </row>
    <row r="65325" spans="5:5">
      <c r="E65325" s="36"/>
    </row>
    <row r="65326" spans="5:5">
      <c r="E65326" s="8"/>
    </row>
    <row r="65329" spans="5:5">
      <c r="E65329" s="8"/>
    </row>
    <row r="65330" spans="5:5">
      <c r="E65330" s="8"/>
    </row>
    <row r="65331" spans="5:5">
      <c r="E65331" s="10"/>
    </row>
    <row r="65332" spans="5:5">
      <c r="E65332" s="10"/>
    </row>
    <row r="65333" spans="5:5" ht="15" customHeight="1">
      <c r="E65333" s="48"/>
    </row>
    <row r="65334" spans="5:5" ht="15" customHeight="1">
      <c r="E65334" s="48"/>
    </row>
  </sheetData>
  <autoFilter ref="A1:A224" xr:uid="{00000000-0009-0000-0000-000002000000}">
    <filterColumn colId="0">
      <filters>
        <filter val="1"/>
      </filters>
    </filterColumn>
  </autoFilter>
  <mergeCells count="1">
    <mergeCell ref="N2:O2"/>
  </mergeCells>
  <pageMargins left="0.75" right="0.75" top="1" bottom="1" header="0.5" footer="0.5"/>
  <pageSetup scale="66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I30"/>
  <sheetViews>
    <sheetView workbookViewId="0">
      <selection activeCell="G37" sqref="G37"/>
    </sheetView>
  </sheetViews>
  <sheetFormatPr baseColWidth="10" defaultRowHeight="13"/>
  <cols>
    <col min="1" max="1" width="32.33203125" bestFit="1" customWidth="1"/>
  </cols>
  <sheetData>
    <row r="1" spans="1:35">
      <c r="A1" s="69"/>
    </row>
    <row r="2" spans="1:35" ht="16" customHeight="1">
      <c r="A2" s="70"/>
      <c r="B2" s="122" t="s">
        <v>11</v>
      </c>
      <c r="C2" s="123" t="s">
        <v>12</v>
      </c>
      <c r="D2" s="123" t="s">
        <v>13</v>
      </c>
      <c r="E2" s="123" t="s">
        <v>14</v>
      </c>
      <c r="F2" s="123" t="s">
        <v>15</v>
      </c>
      <c r="G2" s="123" t="s">
        <v>16</v>
      </c>
      <c r="H2" s="123" t="s">
        <v>17</v>
      </c>
      <c r="I2" s="123" t="s">
        <v>18</v>
      </c>
      <c r="J2" s="124" t="s">
        <v>19</v>
      </c>
      <c r="K2" s="123" t="s">
        <v>20</v>
      </c>
      <c r="L2" s="103"/>
      <c r="M2" s="133" t="s">
        <v>21</v>
      </c>
      <c r="N2" s="134"/>
      <c r="O2" s="22"/>
      <c r="P2" s="115"/>
      <c r="X2" s="18"/>
      <c r="Z2" s="4"/>
      <c r="AA2" s="18"/>
      <c r="AB2" s="18"/>
      <c r="AD2" s="18"/>
      <c r="AE2" s="4"/>
      <c r="AG2" s="18"/>
      <c r="AI2" s="18"/>
    </row>
    <row r="3" spans="1:35">
      <c r="A3" s="71" t="str">
        <f>+IF(Elaborazione!$B1="","",Elaborazione!$B1)</f>
        <v/>
      </c>
      <c r="B3" s="89"/>
      <c r="C3" s="10"/>
      <c r="D3" s="10"/>
      <c r="E3" s="10"/>
      <c r="F3" s="10"/>
      <c r="G3" s="10"/>
      <c r="H3" s="10"/>
      <c r="I3" s="7"/>
      <c r="J3" s="7"/>
      <c r="K3" s="10"/>
      <c r="L3" s="104"/>
      <c r="M3" s="71" t="str">
        <f>+IF(Elaborazione!$B1="","",Elaborazione!$B1)</f>
        <v/>
      </c>
      <c r="N3" s="101" t="str">
        <f>IF(A3="","",0.069)</f>
        <v/>
      </c>
      <c r="O3" s="22"/>
      <c r="P3" s="88"/>
      <c r="X3" s="18"/>
      <c r="Z3" s="4"/>
      <c r="AA3" s="18"/>
      <c r="AB3" s="18"/>
      <c r="AD3" s="18"/>
      <c r="AE3" s="4"/>
      <c r="AG3" s="18"/>
      <c r="AI3" s="18"/>
    </row>
    <row r="4" spans="1:35">
      <c r="A4" s="72" t="str">
        <f>+IF(Elaborazione!$C$1="","",Elaborazione!$C$1)</f>
        <v/>
      </c>
      <c r="B4" s="91"/>
      <c r="C4" s="92"/>
      <c r="D4" s="92"/>
      <c r="E4" s="92"/>
      <c r="F4" s="92"/>
      <c r="G4" s="92"/>
      <c r="H4" s="92"/>
      <c r="I4" s="93"/>
      <c r="J4" s="93"/>
      <c r="K4" s="92"/>
      <c r="L4" s="105"/>
      <c r="M4" s="72" t="str">
        <f>+IF(Elaborazione!$C$1="","",Elaborazione!$C$1)</f>
        <v/>
      </c>
      <c r="N4" s="102" t="str">
        <f>IF(A4="","",0.049)</f>
        <v/>
      </c>
      <c r="O4" s="22"/>
      <c r="P4" s="88"/>
      <c r="Q4" s="41"/>
      <c r="R4" s="41"/>
      <c r="X4" s="18"/>
      <c r="Z4" s="4"/>
      <c r="AA4" s="18"/>
      <c r="AB4" s="18"/>
      <c r="AD4" s="18"/>
      <c r="AE4" s="4"/>
      <c r="AG4" s="18"/>
      <c r="AI4" s="18"/>
    </row>
    <row r="5" spans="1:35">
      <c r="A5" s="71" t="str">
        <f>+IF(Elaborazione!$D$1="","",Elaborazione!D$1)</f>
        <v/>
      </c>
      <c r="B5" s="89"/>
      <c r="C5" s="10"/>
      <c r="D5" s="10"/>
      <c r="E5" s="10"/>
      <c r="F5" s="10"/>
      <c r="G5" s="10"/>
      <c r="H5" s="10"/>
      <c r="I5" s="7"/>
      <c r="J5" s="7"/>
      <c r="K5" s="10"/>
      <c r="L5" s="104"/>
      <c r="M5" s="71" t="str">
        <f>+IF(Elaborazione!$D$1="","",Elaborazione!D$1)</f>
        <v/>
      </c>
      <c r="N5" s="101" t="str">
        <f>IF(A5="","",0.069)</f>
        <v/>
      </c>
      <c r="O5" s="22"/>
      <c r="P5" s="88"/>
      <c r="Q5" s="42"/>
      <c r="R5" s="42"/>
      <c r="S5" s="42"/>
      <c r="X5" s="18"/>
      <c r="Z5" s="19"/>
      <c r="AA5" s="18"/>
      <c r="AB5" s="18"/>
      <c r="AD5" s="18"/>
      <c r="AE5" s="19"/>
      <c r="AF5" s="18"/>
      <c r="AG5" s="18"/>
      <c r="AI5" s="18"/>
    </row>
    <row r="6" spans="1:35">
      <c r="A6" s="72" t="str">
        <f>+IF(Elaborazione!$E$1="","",Elaborazione!$E$1)</f>
        <v/>
      </c>
      <c r="B6" s="91"/>
      <c r="C6" s="92"/>
      <c r="D6" s="92"/>
      <c r="E6" s="92"/>
      <c r="F6" s="92"/>
      <c r="G6" s="92"/>
      <c r="H6" s="92"/>
      <c r="I6" s="93"/>
      <c r="J6" s="93"/>
      <c r="K6" s="92"/>
      <c r="L6" s="105"/>
      <c r="M6" s="72" t="str">
        <f>+IF(Elaborazione!$E$1="","",Elaborazione!$E$1)</f>
        <v/>
      </c>
      <c r="N6" s="102" t="str">
        <f>IF(A6="","",0.069)</f>
        <v/>
      </c>
      <c r="O6" s="22"/>
      <c r="P6" s="88"/>
      <c r="Q6" s="19"/>
      <c r="R6" s="38"/>
      <c r="S6" s="38"/>
      <c r="X6" s="18"/>
      <c r="Z6" s="19"/>
      <c r="AA6" s="18"/>
      <c r="AB6" s="18"/>
      <c r="AD6" s="18"/>
      <c r="AE6" s="19"/>
      <c r="AF6" s="18"/>
      <c r="AG6" s="18"/>
      <c r="AI6" s="18"/>
    </row>
    <row r="7" spans="1:35">
      <c r="A7" s="71" t="str">
        <f>+IF(Elaborazione!$F$1="","",Elaborazione!$F$1)</f>
        <v/>
      </c>
      <c r="B7" s="89"/>
      <c r="C7" s="10"/>
      <c r="D7" s="10"/>
      <c r="E7" s="10"/>
      <c r="F7" s="10"/>
      <c r="G7" s="10"/>
      <c r="H7" s="10"/>
      <c r="I7" s="7"/>
      <c r="J7" s="7"/>
      <c r="K7" s="10"/>
      <c r="L7" s="104"/>
      <c r="M7" s="71" t="str">
        <f>+IF(Elaborazione!$F$1="","",Elaborazione!$F$1)</f>
        <v/>
      </c>
      <c r="N7" s="101" t="str">
        <f>IF(A7="","",0.032)</f>
        <v/>
      </c>
      <c r="O7" s="64"/>
      <c r="P7" s="88"/>
      <c r="Q7" s="19"/>
      <c r="R7" s="38"/>
      <c r="S7" s="38"/>
      <c r="X7" s="18"/>
      <c r="Z7" s="19"/>
      <c r="AA7" s="18"/>
      <c r="AB7" s="18"/>
      <c r="AD7" s="18"/>
      <c r="AE7" s="19"/>
      <c r="AF7" s="18"/>
      <c r="AG7" s="18"/>
      <c r="AI7" s="18"/>
    </row>
    <row r="8" spans="1:35">
      <c r="A8" s="72" t="str">
        <f>+IF(Elaborazione!$G$1="","",Elaborazione!$G$1)</f>
        <v/>
      </c>
      <c r="B8" s="91"/>
      <c r="C8" s="92"/>
      <c r="D8" s="92"/>
      <c r="E8" s="92"/>
      <c r="F8" s="92"/>
      <c r="G8" s="92"/>
      <c r="H8" s="92"/>
      <c r="I8" s="93"/>
      <c r="J8" s="93"/>
      <c r="K8" s="92"/>
      <c r="L8" s="105"/>
      <c r="M8" s="72" t="str">
        <f>+IF(Elaborazione!$G$1="","",Elaborazione!$G$1)</f>
        <v/>
      </c>
      <c r="N8" s="102" t="str">
        <f>IF(A8="","",0.032)</f>
        <v/>
      </c>
      <c r="O8" s="22"/>
      <c r="P8" s="88"/>
      <c r="Q8" s="19"/>
      <c r="R8" s="38"/>
      <c r="S8" s="38"/>
      <c r="X8" s="18"/>
      <c r="Z8" s="19"/>
      <c r="AA8" s="18"/>
      <c r="AB8" s="18"/>
      <c r="AD8" s="18"/>
      <c r="AE8" s="19"/>
      <c r="AF8" s="18"/>
      <c r="AG8" s="18"/>
      <c r="AI8" s="18"/>
    </row>
    <row r="9" spans="1:35">
      <c r="A9" s="71" t="str">
        <f>+IF(Elaborazione!$H$1="","",Elaborazione!$H$1)</f>
        <v/>
      </c>
      <c r="B9" s="89"/>
      <c r="C9" s="10"/>
      <c r="D9" s="10"/>
      <c r="E9" s="10"/>
      <c r="F9" s="10"/>
      <c r="G9" s="10"/>
      <c r="H9" s="10"/>
      <c r="I9" s="7"/>
      <c r="J9" s="7"/>
      <c r="K9" s="10"/>
      <c r="L9" s="104"/>
      <c r="M9" s="71" t="str">
        <f>+IF(Elaborazione!$H$1="","",Elaborazione!$H$1)</f>
        <v/>
      </c>
      <c r="N9" s="101" t="str">
        <f>IF(A9="","",0.033)</f>
        <v/>
      </c>
      <c r="O9" s="22"/>
      <c r="P9" s="88"/>
      <c r="Q9" s="19"/>
      <c r="R9" s="38"/>
      <c r="S9" s="38"/>
      <c r="X9" s="18"/>
      <c r="Z9" s="19"/>
      <c r="AA9" s="18"/>
      <c r="AB9" s="18"/>
      <c r="AD9" s="18"/>
      <c r="AE9" s="19"/>
      <c r="AF9" s="18"/>
      <c r="AG9" s="18"/>
      <c r="AI9" s="18"/>
    </row>
    <row r="10" spans="1:35">
      <c r="A10" s="72" t="str">
        <f>+IF(Elaborazione!$I$1="","",Elaborazione!$I$1)</f>
        <v/>
      </c>
      <c r="B10" s="91"/>
      <c r="C10" s="92"/>
      <c r="D10" s="92"/>
      <c r="E10" s="92"/>
      <c r="F10" s="92"/>
      <c r="G10" s="92"/>
      <c r="H10" s="92"/>
      <c r="I10" s="93"/>
      <c r="J10" s="93"/>
      <c r="K10" s="92"/>
      <c r="L10" s="105"/>
      <c r="M10" s="72" t="str">
        <f>+IF(Elaborazione!$I$1="","",Elaborazione!$I$1)</f>
        <v/>
      </c>
      <c r="N10" s="102" t="str">
        <f>IF(A10="","",0.02)</f>
        <v/>
      </c>
      <c r="O10" s="22"/>
      <c r="P10" s="88"/>
      <c r="Q10" s="19"/>
      <c r="R10" s="38"/>
      <c r="S10" s="38"/>
      <c r="X10" s="18"/>
      <c r="Z10" s="19"/>
      <c r="AA10" s="18"/>
      <c r="AB10" s="18"/>
      <c r="AD10" s="18"/>
      <c r="AE10" s="19"/>
      <c r="AF10" s="18"/>
      <c r="AG10" s="18"/>
      <c r="AI10" s="18"/>
    </row>
    <row r="11" spans="1:35">
      <c r="A11" s="71" t="str">
        <f>+IF(Elaborazione!$J$1="","",Elaborazione!$J$1)</f>
        <v/>
      </c>
      <c r="B11" s="89"/>
      <c r="C11" s="10"/>
      <c r="D11" s="10"/>
      <c r="E11" s="10"/>
      <c r="F11" s="10"/>
      <c r="G11" s="10"/>
      <c r="H11" s="10"/>
      <c r="I11" s="7"/>
      <c r="J11" s="7"/>
      <c r="K11" s="10"/>
      <c r="L11" s="104"/>
      <c r="M11" s="71" t="str">
        <f>+IF(Elaborazione!$J$1="","",Elaborazione!$J$1)</f>
        <v/>
      </c>
      <c r="N11" s="101" t="str">
        <f>IF(A11="","",0.02)</f>
        <v/>
      </c>
      <c r="O11" s="19"/>
      <c r="P11" s="88"/>
      <c r="Q11" s="19"/>
      <c r="S11" s="38"/>
      <c r="X11" s="18"/>
      <c r="Z11" s="19"/>
      <c r="AA11" s="18"/>
      <c r="AB11" s="18"/>
      <c r="AD11" s="18"/>
      <c r="AE11" s="19"/>
      <c r="AF11" s="18"/>
      <c r="AG11" s="18"/>
      <c r="AI11" s="18"/>
    </row>
    <row r="12" spans="1:35">
      <c r="A12" s="72" t="str">
        <f>+IF(Elaborazione!$K$1="","",Elaborazione!$K$1)</f>
        <v/>
      </c>
      <c r="B12" s="91"/>
      <c r="C12" s="92"/>
      <c r="D12" s="92"/>
      <c r="E12" s="92"/>
      <c r="F12" s="92"/>
      <c r="G12" s="92"/>
      <c r="H12" s="92"/>
      <c r="I12" s="93"/>
      <c r="J12" s="93"/>
      <c r="K12" s="92"/>
      <c r="L12" s="105"/>
      <c r="M12" s="72" t="str">
        <f>+IF(Elaborazione!$K$1="","",Elaborazione!$K$1)</f>
        <v/>
      </c>
      <c r="N12" s="102" t="str">
        <f>IF(A12="","",0.025)</f>
        <v/>
      </c>
      <c r="O12" s="22"/>
      <c r="P12" s="88"/>
      <c r="Q12" s="19"/>
      <c r="S12" s="38"/>
      <c r="X12" s="18"/>
      <c r="Z12" s="19"/>
      <c r="AA12" s="18"/>
      <c r="AB12" s="18"/>
      <c r="AD12" s="18"/>
      <c r="AE12" s="19"/>
      <c r="AF12" s="18"/>
      <c r="AG12" s="18"/>
      <c r="AI12" s="18"/>
    </row>
    <row r="13" spans="1:35">
      <c r="A13" s="71" t="str">
        <f>+IF(Elaborazione!$L$1="","",Elaborazione!$L$1)</f>
        <v/>
      </c>
      <c r="B13" s="89"/>
      <c r="C13" s="10"/>
      <c r="D13" s="10"/>
      <c r="E13" s="10"/>
      <c r="F13" s="10"/>
      <c r="G13" s="10"/>
      <c r="H13" s="10"/>
      <c r="I13" s="7"/>
      <c r="J13" s="7"/>
      <c r="K13" s="10"/>
      <c r="L13" s="104"/>
      <c r="M13" s="71" t="str">
        <f>+IF(Elaborazione!$L$1="","",Elaborazione!$L$1)</f>
        <v/>
      </c>
      <c r="N13" s="101" t="str">
        <f>IF(A13="","",0.021)</f>
        <v/>
      </c>
      <c r="O13" s="65"/>
      <c r="P13" s="88"/>
      <c r="Q13" s="19"/>
      <c r="R13" s="38"/>
      <c r="S13" s="38"/>
      <c r="X13" s="18"/>
      <c r="Z13" s="19"/>
      <c r="AA13" s="18"/>
      <c r="AB13" s="18"/>
      <c r="AD13" s="18"/>
      <c r="AE13" s="19"/>
      <c r="AF13" s="18"/>
      <c r="AG13" s="18"/>
      <c r="AI13" s="18"/>
    </row>
    <row r="14" spans="1:35">
      <c r="A14" s="72" t="str">
        <f>+IF(Elaborazione!$M$1="","",Elaborazione!$M$1)</f>
        <v/>
      </c>
      <c r="B14" s="91"/>
      <c r="C14" s="92"/>
      <c r="D14" s="92"/>
      <c r="E14" s="92"/>
      <c r="F14" s="92"/>
      <c r="G14" s="92"/>
      <c r="H14" s="92"/>
      <c r="I14" s="93"/>
      <c r="J14" s="93"/>
      <c r="K14" s="92"/>
      <c r="L14" s="105"/>
      <c r="M14" s="72" t="str">
        <f>+IF(Elaborazione!$M$1="","",Elaborazione!$M$1)</f>
        <v/>
      </c>
      <c r="N14" s="102" t="str">
        <f>IF(A14="","",0.036)</f>
        <v/>
      </c>
      <c r="O14" s="22"/>
      <c r="P14" s="88"/>
      <c r="Q14" s="41"/>
      <c r="R14" s="66"/>
      <c r="S14" s="41"/>
    </row>
    <row r="15" spans="1:35">
      <c r="A15" s="71" t="str">
        <f>+IF(Elaborazione!$N$1="","",Elaborazione!$N$1)</f>
        <v/>
      </c>
      <c r="B15" s="89"/>
      <c r="C15" s="10"/>
      <c r="D15" s="10"/>
      <c r="E15" s="10"/>
      <c r="F15" s="10"/>
      <c r="G15" s="10"/>
      <c r="H15" s="10"/>
      <c r="I15" s="7"/>
      <c r="J15" s="7"/>
      <c r="K15" s="10"/>
      <c r="L15" s="104"/>
      <c r="M15" s="71" t="str">
        <f>+IF(Elaborazione!$N$1="","",Elaborazione!$N$1)</f>
        <v/>
      </c>
      <c r="N15" s="101" t="str">
        <f>IF(A15="","",0.033)</f>
        <v/>
      </c>
      <c r="O15" s="8"/>
      <c r="P15" s="88"/>
      <c r="R15" s="38"/>
    </row>
    <row r="16" spans="1:35">
      <c r="A16" s="72" t="str">
        <f>+IF(Elaborazione!$O$1="","",Elaborazione!$O$1)</f>
        <v/>
      </c>
      <c r="B16" s="91"/>
      <c r="C16" s="92"/>
      <c r="D16" s="92"/>
      <c r="E16" s="92"/>
      <c r="F16" s="92"/>
      <c r="G16" s="92"/>
      <c r="H16" s="92"/>
      <c r="I16" s="93"/>
      <c r="J16" s="93"/>
      <c r="K16" s="92"/>
      <c r="L16" s="105"/>
      <c r="M16" s="72" t="str">
        <f>+IF(Elaborazione!$O$1="","",Elaborazione!$O$1)</f>
        <v/>
      </c>
      <c r="N16" s="102" t="str">
        <f>IF(A16="","",0.033)</f>
        <v/>
      </c>
      <c r="O16" s="8"/>
      <c r="P16" s="88"/>
      <c r="R16" s="41"/>
    </row>
    <row r="17" spans="1:16">
      <c r="A17" s="71" t="str">
        <f>+IF(Elaborazione!$P$1="","",Elaborazione!$P$1)</f>
        <v/>
      </c>
      <c r="B17" s="89"/>
      <c r="C17" s="10"/>
      <c r="D17" s="10"/>
      <c r="E17" s="10"/>
      <c r="F17" s="10"/>
      <c r="G17" s="10"/>
      <c r="H17" s="10"/>
      <c r="I17" s="7"/>
      <c r="J17" s="7"/>
      <c r="K17" s="10"/>
      <c r="L17" s="104"/>
      <c r="M17" s="71" t="str">
        <f>+IF(Elaborazione!$P$1="","",Elaborazione!$P$1)</f>
        <v/>
      </c>
      <c r="N17" s="101" t="str">
        <f>IF(A17="","",0.038)</f>
        <v/>
      </c>
      <c r="O17" s="8"/>
      <c r="P17" s="88"/>
    </row>
    <row r="18" spans="1:16">
      <c r="A18" s="72" t="str">
        <f>+IF(Elaborazione!$Q$1="","",Elaborazione!$Q$1)</f>
        <v/>
      </c>
      <c r="B18" s="91"/>
      <c r="C18" s="92"/>
      <c r="D18" s="92"/>
      <c r="E18" s="92"/>
      <c r="F18" s="92"/>
      <c r="G18" s="92"/>
      <c r="H18" s="92"/>
      <c r="I18" s="93"/>
      <c r="J18" s="93"/>
      <c r="K18" s="92"/>
      <c r="L18" s="105"/>
      <c r="M18" s="72" t="str">
        <f>+IF(Elaborazione!$Q$1="","",Elaborazione!$Q$1)</f>
        <v/>
      </c>
      <c r="N18" s="102"/>
      <c r="O18" s="8"/>
      <c r="P18" s="88"/>
    </row>
    <row r="19" spans="1:16">
      <c r="A19" s="71" t="str">
        <f>+IF(Elaborazione!$R$1="","",Elaborazione!$R$1)</f>
        <v/>
      </c>
      <c r="B19" s="89"/>
      <c r="C19" s="10"/>
      <c r="D19" s="10"/>
      <c r="E19" s="10"/>
      <c r="F19" s="10"/>
      <c r="G19" s="10"/>
      <c r="H19" s="10"/>
      <c r="I19" s="7"/>
      <c r="J19" s="7"/>
      <c r="K19" s="10"/>
      <c r="L19" s="104"/>
      <c r="M19" s="71" t="str">
        <f>+IF(Elaborazione!$R$1="","",Elaborazione!$R$1)</f>
        <v/>
      </c>
      <c r="N19" s="101"/>
      <c r="O19" s="8"/>
      <c r="P19" s="88"/>
    </row>
    <row r="20" spans="1:16">
      <c r="A20" s="72" t="str">
        <f>+IF(Elaborazione!$S$1="","",Elaborazione!$S$1)</f>
        <v/>
      </c>
      <c r="B20" s="91"/>
      <c r="C20" s="92"/>
      <c r="D20" s="92"/>
      <c r="E20" s="92"/>
      <c r="F20" s="92"/>
      <c r="G20" s="92"/>
      <c r="H20" s="92"/>
      <c r="I20" s="93"/>
      <c r="J20" s="93"/>
      <c r="K20" s="92"/>
      <c r="L20" s="105"/>
      <c r="M20" s="72" t="str">
        <f>+IF(Elaborazione!$S$1="","",Elaborazione!$S$1)</f>
        <v/>
      </c>
      <c r="N20" s="102"/>
      <c r="O20" s="8"/>
      <c r="P20" s="88"/>
    </row>
    <row r="21" spans="1:16" ht="18" customHeight="1">
      <c r="A21" s="83"/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6"/>
      <c r="M21" s="82"/>
      <c r="N21" s="82"/>
    </row>
    <row r="22" spans="1:16" ht="16" customHeight="1">
      <c r="B22" s="44"/>
      <c r="C22" s="44"/>
      <c r="D22" s="48"/>
      <c r="E22" s="44"/>
      <c r="F22" s="44"/>
      <c r="G22" s="44"/>
      <c r="H22" s="44"/>
      <c r="I22" s="44"/>
      <c r="J22" s="44"/>
      <c r="K22" s="45"/>
      <c r="L22" s="107"/>
    </row>
    <row r="23" spans="1:16" ht="16" customHeight="1">
      <c r="B23" s="51"/>
      <c r="C23" s="51"/>
      <c r="D23" s="49"/>
      <c r="E23" s="51"/>
      <c r="F23" s="51"/>
      <c r="G23" s="51"/>
      <c r="H23" s="51"/>
      <c r="I23" s="51"/>
      <c r="J23" s="51"/>
      <c r="K23" s="51"/>
      <c r="L23" s="108"/>
    </row>
    <row r="24" spans="1:16" ht="16" customHeight="1">
      <c r="B24" s="44"/>
      <c r="C24" s="44"/>
      <c r="D24" s="49"/>
      <c r="E24" s="44"/>
      <c r="F24" s="44"/>
      <c r="G24" s="44"/>
      <c r="H24" s="44"/>
      <c r="I24" s="44"/>
      <c r="J24" s="44"/>
      <c r="K24" s="44"/>
      <c r="L24" s="107"/>
    </row>
    <row r="25" spans="1:16" ht="16" customHeight="1">
      <c r="A25" s="62"/>
      <c r="B25" s="46"/>
      <c r="C25" s="46"/>
      <c r="D25" s="48"/>
      <c r="E25" s="46"/>
      <c r="F25" s="46"/>
      <c r="G25" s="46"/>
      <c r="H25" s="46"/>
      <c r="I25" s="46"/>
      <c r="J25" s="46"/>
      <c r="K25" s="46"/>
      <c r="L25" s="109"/>
    </row>
    <row r="26" spans="1:16">
      <c r="A26" s="6"/>
      <c r="B26" s="114">
        <v>1.0000009999999999</v>
      </c>
      <c r="C26" s="114">
        <v>1.0000020000000001</v>
      </c>
      <c r="D26" s="114">
        <v>0.99999900000000008</v>
      </c>
      <c r="E26" s="114">
        <v>1.0000009999999999</v>
      </c>
      <c r="F26" s="114">
        <v>0.99999900000000008</v>
      </c>
      <c r="G26" s="114">
        <v>0.99999999999999989</v>
      </c>
      <c r="H26" s="114">
        <v>1</v>
      </c>
      <c r="I26" s="114">
        <v>0.99999899999999997</v>
      </c>
      <c r="J26" s="114">
        <v>1.0000009999999999</v>
      </c>
      <c r="K26" s="114">
        <v>1</v>
      </c>
      <c r="L26" s="114"/>
      <c r="N26" s="38"/>
    </row>
    <row r="27" spans="1:16" ht="14" customHeight="1">
      <c r="A27" s="84" t="s">
        <v>22</v>
      </c>
      <c r="B27" s="125"/>
      <c r="C27" s="125"/>
      <c r="D27" s="125"/>
      <c r="E27" s="125"/>
      <c r="F27" s="125"/>
      <c r="G27" s="125"/>
      <c r="H27" s="125"/>
      <c r="I27" s="125"/>
      <c r="J27" s="125"/>
      <c r="K27" s="125"/>
      <c r="L27" s="110"/>
      <c r="M27" s="12"/>
      <c r="N27" s="38"/>
    </row>
    <row r="28" spans="1:16" ht="14" customHeight="1">
      <c r="A28" s="53" t="s">
        <v>23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11"/>
      <c r="M28" s="12"/>
    </row>
    <row r="29" spans="1:16" ht="14" customHeight="1">
      <c r="A29" s="52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112"/>
      <c r="M29" s="12"/>
      <c r="N29" s="12"/>
      <c r="P29" s="73"/>
    </row>
    <row r="30" spans="1:16" ht="14" customHeight="1">
      <c r="A30" s="53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113"/>
      <c r="M30" s="12"/>
      <c r="N30" s="12"/>
      <c r="P30" s="73"/>
    </row>
  </sheetData>
  <mergeCells count="1"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Elaborazione</vt:lpstr>
      <vt:lpstr>Input</vt:lpstr>
      <vt:lpstr>risultati</vt:lpstr>
      <vt:lpstr>Michaud</vt:lpstr>
      <vt:lpstr>risultati!Print_Area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BRD</dc:creator>
  <cp:lastModifiedBy>Alessio Bisceglia</cp:lastModifiedBy>
  <cp:lastPrinted>2011-10-10T13:09:07Z</cp:lastPrinted>
  <dcterms:created xsi:type="dcterms:W3CDTF">2006-09-27T08:17:49Z</dcterms:created>
  <dcterms:modified xsi:type="dcterms:W3CDTF">2026-07-05T19:49:35Z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UserName">
    <vt:lpwstr>brainpower</vt:lpwstr>
  </property>
  <property fmtid="{D5CDD505-2E9C-101B-9397-08002B2CF9AE}" pid="3" name="Brainpower">
    <vt:lpwstr>BRAINPOWERSRV:80/BRAINPOWER410</vt:lpwstr>
  </property>
</Properties>
</file>